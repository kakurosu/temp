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開発用フォルダ\data\projects\0055_equity-research-workbook\4188_20261022\"/>
    </mc:Choice>
  </mc:AlternateContent>
  <xr:revisionPtr revIDLastSave="0" documentId="13_ncr:1_{C9C49B05-7274-468D-8AA2-9734930B9DFB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表紙" sheetId="1" r:id="rId1"/>
    <sheet name="前提" sheetId="2" r:id="rId2"/>
    <sheet name="D_半導体" sheetId="3" r:id="rId3"/>
    <sheet name="D_Zoox" sheetId="4" r:id="rId4"/>
    <sheet name="D_石化" sheetId="5" r:id="rId5"/>
    <sheet name="D_JSR" sheetId="6" r:id="rId6"/>
    <sheet name="セグメント" sheetId="7" r:id="rId7"/>
    <sheet name="連結PL" sheetId="8" r:id="rId8"/>
    <sheet name="連結BS" sheetId="9" r:id="rId9"/>
    <sheet name="連結CF" sheetId="10" r:id="rId10"/>
    <sheet name="分社化・合併" sheetId="11" r:id="rId11"/>
    <sheet name="中計判定" sheetId="12" r:id="rId12"/>
    <sheet name="日本酸素_持分法換算" sheetId="13" r:id="rId13"/>
    <sheet name="出典" sheetId="14" r:id="rId14"/>
    <sheet name="検証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5" l="1"/>
  <c r="D35" i="15"/>
  <c r="D34" i="15"/>
  <c r="D33" i="15"/>
  <c r="D32" i="15"/>
  <c r="D31" i="15"/>
  <c r="D30" i="15"/>
  <c r="D29" i="15"/>
  <c r="D28" i="15"/>
  <c r="D27" i="15"/>
  <c r="D26" i="15"/>
  <c r="D25" i="15"/>
  <c r="D24" i="15"/>
  <c r="C24" i="15"/>
  <c r="E24" i="15" s="1"/>
  <c r="F24" i="15" s="1"/>
  <c r="D23" i="15"/>
  <c r="D22" i="15"/>
  <c r="D21" i="15"/>
  <c r="D20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I9" i="13"/>
  <c r="H9" i="13"/>
  <c r="G9" i="13"/>
  <c r="F9" i="13"/>
  <c r="E9" i="13"/>
  <c r="E6" i="13"/>
  <c r="E17" i="12"/>
  <c r="D9" i="12"/>
  <c r="C14" i="1" s="1"/>
  <c r="D8" i="12"/>
  <c r="C13" i="1" s="1"/>
  <c r="D7" i="12"/>
  <c r="C12" i="1" s="1"/>
  <c r="D6" i="12"/>
  <c r="C11" i="1" s="1"/>
  <c r="D5" i="12"/>
  <c r="C10" i="1" s="1"/>
  <c r="I32" i="11"/>
  <c r="I44" i="7" s="1"/>
  <c r="H32" i="11"/>
  <c r="H44" i="7" s="1"/>
  <c r="G32" i="11"/>
  <c r="G44" i="7" s="1"/>
  <c r="F32" i="11"/>
  <c r="F44" i="7" s="1"/>
  <c r="E32" i="11"/>
  <c r="E44" i="7" s="1"/>
  <c r="D14" i="11"/>
  <c r="D13" i="11"/>
  <c r="D12" i="11"/>
  <c r="I8" i="11"/>
  <c r="H8" i="11"/>
  <c r="H9" i="11" s="1"/>
  <c r="G8" i="11"/>
  <c r="G9" i="11" s="1"/>
  <c r="F8" i="11"/>
  <c r="F9" i="11" s="1"/>
  <c r="E8" i="11"/>
  <c r="E9" i="11" s="1"/>
  <c r="I7" i="11"/>
  <c r="H7" i="11"/>
  <c r="G7" i="11"/>
  <c r="F7" i="11"/>
  <c r="E7" i="11"/>
  <c r="I6" i="11"/>
  <c r="H6" i="11"/>
  <c r="G6" i="11"/>
  <c r="F6" i="11"/>
  <c r="E6" i="11"/>
  <c r="D50" i="10"/>
  <c r="D25" i="10"/>
  <c r="D43" i="9"/>
  <c r="I39" i="9"/>
  <c r="H39" i="9"/>
  <c r="G39" i="9"/>
  <c r="F39" i="9"/>
  <c r="E39" i="9"/>
  <c r="D39" i="9"/>
  <c r="D37" i="9"/>
  <c r="D36" i="9"/>
  <c r="D35" i="9"/>
  <c r="I17" i="9"/>
  <c r="H17" i="9"/>
  <c r="G17" i="9"/>
  <c r="F17" i="9"/>
  <c r="E17" i="9"/>
  <c r="D17" i="9"/>
  <c r="D15" i="9"/>
  <c r="D14" i="9"/>
  <c r="D13" i="9"/>
  <c r="I32" i="8"/>
  <c r="H32" i="8"/>
  <c r="G32" i="8"/>
  <c r="F32" i="8"/>
  <c r="E32" i="8"/>
  <c r="I9" i="8"/>
  <c r="H9" i="8"/>
  <c r="G9" i="8"/>
  <c r="F9" i="8"/>
  <c r="E9" i="8"/>
  <c r="D6" i="8"/>
  <c r="I31" i="7"/>
  <c r="H31" i="7"/>
  <c r="G31" i="7"/>
  <c r="F31" i="7"/>
  <c r="E31" i="7"/>
  <c r="E19" i="8" s="1"/>
  <c r="E30" i="7"/>
  <c r="F30" i="7" s="1"/>
  <c r="I29" i="7"/>
  <c r="H29" i="7"/>
  <c r="G29" i="7"/>
  <c r="F29" i="7"/>
  <c r="E29" i="7"/>
  <c r="E28" i="7"/>
  <c r="F28" i="7" s="1"/>
  <c r="G28" i="7" s="1"/>
  <c r="H28" i="7" s="1"/>
  <c r="I28" i="7" s="1"/>
  <c r="I24" i="7"/>
  <c r="H24" i="7"/>
  <c r="G24" i="7"/>
  <c r="F24" i="7"/>
  <c r="E24" i="7"/>
  <c r="E23" i="7"/>
  <c r="F23" i="7" s="1"/>
  <c r="G23" i="7" s="1"/>
  <c r="H23" i="7" s="1"/>
  <c r="I23" i="7" s="1"/>
  <c r="H9" i="7"/>
  <c r="H11" i="7" s="1"/>
  <c r="G9" i="7"/>
  <c r="G11" i="7" s="1"/>
  <c r="F9" i="7"/>
  <c r="F11" i="7" s="1"/>
  <c r="E9" i="7"/>
  <c r="E11" i="7" s="1"/>
  <c r="H8" i="7"/>
  <c r="G8" i="7"/>
  <c r="G10" i="7" s="1"/>
  <c r="F8" i="7"/>
  <c r="F10" i="7" s="1"/>
  <c r="E8" i="7"/>
  <c r="E10" i="7" s="1"/>
  <c r="E7" i="7"/>
  <c r="E6" i="7"/>
  <c r="F6" i="7" s="1"/>
  <c r="I21" i="6"/>
  <c r="I22" i="6" s="1"/>
  <c r="H21" i="6"/>
  <c r="H22" i="6" s="1"/>
  <c r="G21" i="6"/>
  <c r="G22" i="6" s="1"/>
  <c r="F21" i="6"/>
  <c r="F22" i="6" s="1"/>
  <c r="E21" i="6"/>
  <c r="E22" i="6" s="1"/>
  <c r="I20" i="6"/>
  <c r="H20" i="6"/>
  <c r="G20" i="6"/>
  <c r="F20" i="6"/>
  <c r="E20" i="6"/>
  <c r="I19" i="6"/>
  <c r="H19" i="6"/>
  <c r="G19" i="6"/>
  <c r="F19" i="6"/>
  <c r="E19" i="6"/>
  <c r="I18" i="6"/>
  <c r="H18" i="6"/>
  <c r="G18" i="6"/>
  <c r="F18" i="6"/>
  <c r="E18" i="6"/>
  <c r="I17" i="6"/>
  <c r="H17" i="6"/>
  <c r="G17" i="6"/>
  <c r="F17" i="6"/>
  <c r="E17" i="6"/>
  <c r="I12" i="6"/>
  <c r="H12" i="6"/>
  <c r="G12" i="6"/>
  <c r="F12" i="6"/>
  <c r="E12" i="6"/>
  <c r="I8" i="6"/>
  <c r="H8" i="6"/>
  <c r="G8" i="6"/>
  <c r="F8" i="6"/>
  <c r="E8" i="6"/>
  <c r="E9" i="6" s="1"/>
  <c r="I7" i="6"/>
  <c r="H7" i="6"/>
  <c r="G7" i="6"/>
  <c r="F7" i="6"/>
  <c r="E7" i="6"/>
  <c r="I6" i="6"/>
  <c r="H6" i="6"/>
  <c r="G6" i="6"/>
  <c r="F6" i="6"/>
  <c r="E6" i="6"/>
  <c r="E14" i="5"/>
  <c r="H11" i="5"/>
  <c r="G11" i="5"/>
  <c r="F11" i="5"/>
  <c r="E11" i="5"/>
  <c r="H10" i="5"/>
  <c r="H12" i="5" s="1"/>
  <c r="G10" i="5"/>
  <c r="G12" i="5" s="1"/>
  <c r="F10" i="5"/>
  <c r="E10" i="5"/>
  <c r="I9" i="5"/>
  <c r="H9" i="5"/>
  <c r="G9" i="5"/>
  <c r="F9" i="5"/>
  <c r="E9" i="5"/>
  <c r="E8" i="5"/>
  <c r="E42" i="7" s="1"/>
  <c r="I6" i="5"/>
  <c r="H6" i="5"/>
  <c r="H7" i="5" s="1"/>
  <c r="H8" i="5" s="1"/>
  <c r="G6" i="5"/>
  <c r="G7" i="5" s="1"/>
  <c r="G8" i="5" s="1"/>
  <c r="F6" i="5"/>
  <c r="F7" i="5" s="1"/>
  <c r="F8" i="5" s="1"/>
  <c r="E6" i="5"/>
  <c r="E7" i="5" s="1"/>
  <c r="I5" i="5"/>
  <c r="H5" i="5"/>
  <c r="G5" i="5"/>
  <c r="F5" i="5"/>
  <c r="E5" i="5"/>
  <c r="I7" i="4"/>
  <c r="H7" i="4"/>
  <c r="G7" i="4"/>
  <c r="F7" i="4"/>
  <c r="E7" i="4"/>
  <c r="I6" i="4"/>
  <c r="H6" i="4"/>
  <c r="G6" i="4"/>
  <c r="F6" i="4"/>
  <c r="E6" i="4"/>
  <c r="I5" i="4"/>
  <c r="H5" i="4"/>
  <c r="G5" i="4"/>
  <c r="F5" i="4"/>
  <c r="E5" i="4"/>
  <c r="I24" i="3"/>
  <c r="H24" i="3"/>
  <c r="G24" i="3"/>
  <c r="F24" i="3"/>
  <c r="E24" i="3"/>
  <c r="E23" i="3"/>
  <c r="I21" i="3"/>
  <c r="H21" i="3"/>
  <c r="G21" i="3"/>
  <c r="F21" i="3"/>
  <c r="I14" i="3"/>
  <c r="H14" i="3"/>
  <c r="G14" i="3"/>
  <c r="F14" i="3"/>
  <c r="E14" i="3"/>
  <c r="I12" i="3"/>
  <c r="H12" i="3"/>
  <c r="G12" i="3"/>
  <c r="F12" i="3"/>
  <c r="E12" i="3"/>
  <c r="I10" i="3"/>
  <c r="H10" i="3"/>
  <c r="G10" i="3"/>
  <c r="F10" i="3"/>
  <c r="E10" i="3"/>
  <c r="E9" i="3"/>
  <c r="I7" i="3"/>
  <c r="H7" i="3"/>
  <c r="G7" i="3"/>
  <c r="F7" i="3"/>
  <c r="I6" i="3"/>
  <c r="H6" i="3"/>
  <c r="G6" i="3"/>
  <c r="F6" i="3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B14" i="1"/>
  <c r="B13" i="1"/>
  <c r="B12" i="1"/>
  <c r="B11" i="1"/>
  <c r="B10" i="1"/>
  <c r="G43" i="7" l="1"/>
  <c r="D19" i="9"/>
  <c r="D22" i="9" s="1"/>
  <c r="D16" i="9"/>
  <c r="H43" i="7"/>
  <c r="E12" i="5"/>
  <c r="I19" i="8"/>
  <c r="H19" i="8"/>
  <c r="G19" i="8"/>
  <c r="F19" i="8"/>
  <c r="F12" i="5"/>
  <c r="H10" i="7"/>
  <c r="H12" i="7" s="1"/>
  <c r="I8" i="7"/>
  <c r="I7" i="5"/>
  <c r="I11" i="5"/>
  <c r="I26" i="11"/>
  <c r="H26" i="11"/>
  <c r="G26" i="11"/>
  <c r="D15" i="11"/>
  <c r="D16" i="11"/>
  <c r="H33" i="8"/>
  <c r="H10" i="8"/>
  <c r="G33" i="8"/>
  <c r="G10" i="8"/>
  <c r="F33" i="8"/>
  <c r="F10" i="8"/>
  <c r="E33" i="8"/>
  <c r="E10" i="8"/>
  <c r="I9" i="11"/>
  <c r="F26" i="11"/>
  <c r="E26" i="11"/>
  <c r="I37" i="11"/>
  <c r="I7" i="10" s="1"/>
  <c r="I36" i="11"/>
  <c r="I6" i="10" s="1"/>
  <c r="H37" i="11"/>
  <c r="H7" i="10" s="1"/>
  <c r="H36" i="11"/>
  <c r="H6" i="10" s="1"/>
  <c r="G37" i="11"/>
  <c r="G7" i="10" s="1"/>
  <c r="G36" i="11"/>
  <c r="G6" i="10" s="1"/>
  <c r="F37" i="11"/>
  <c r="F7" i="10" s="1"/>
  <c r="F36" i="11"/>
  <c r="F6" i="10" s="1"/>
  <c r="E37" i="11"/>
  <c r="E7" i="10" s="1"/>
  <c r="E36" i="11"/>
  <c r="E6" i="10" s="1"/>
  <c r="D41" i="9"/>
  <c r="D47" i="9" s="1"/>
  <c r="D38" i="9"/>
  <c r="D45" i="9"/>
  <c r="D29" i="8"/>
  <c r="E8" i="10"/>
  <c r="E20" i="8"/>
  <c r="E24" i="8"/>
  <c r="E42" i="8"/>
  <c r="E12" i="13"/>
  <c r="E13" i="13" s="1"/>
  <c r="G30" i="7"/>
  <c r="F6" i="13"/>
  <c r="G12" i="7"/>
  <c r="F12" i="7"/>
  <c r="E12" i="7"/>
  <c r="G6" i="7"/>
  <c r="F7" i="7"/>
  <c r="I32" i="6"/>
  <c r="I43" i="6"/>
  <c r="H43" i="6"/>
  <c r="H32" i="6"/>
  <c r="G43" i="6"/>
  <c r="G32" i="6"/>
  <c r="F32" i="6"/>
  <c r="F43" i="6"/>
  <c r="E43" i="6"/>
  <c r="E32" i="6"/>
  <c r="F9" i="6"/>
  <c r="E10" i="6"/>
  <c r="F14" i="5"/>
  <c r="E30" i="11"/>
  <c r="E25" i="7" s="1"/>
  <c r="H42" i="7"/>
  <c r="H13" i="5"/>
  <c r="G42" i="7"/>
  <c r="G13" i="5"/>
  <c r="F42" i="7"/>
  <c r="I9" i="4"/>
  <c r="I8" i="4"/>
  <c r="H9" i="4"/>
  <c r="H8" i="4"/>
  <c r="G9" i="4"/>
  <c r="G8" i="4"/>
  <c r="F8" i="4"/>
  <c r="F9" i="4"/>
  <c r="E9" i="4"/>
  <c r="E8" i="4"/>
  <c r="E27" i="3"/>
  <c r="E25" i="3"/>
  <c r="E17" i="3"/>
  <c r="E11" i="3"/>
  <c r="I22" i="3"/>
  <c r="I8" i="3"/>
  <c r="H8" i="3"/>
  <c r="H22" i="3"/>
  <c r="G22" i="3"/>
  <c r="G8" i="3"/>
  <c r="F22" i="3"/>
  <c r="F23" i="3" s="1"/>
  <c r="F8" i="3"/>
  <c r="F9" i="3" s="1"/>
  <c r="E12" i="8" l="1"/>
  <c r="E13" i="8" s="1"/>
  <c r="D21" i="9"/>
  <c r="D18" i="9"/>
  <c r="D20" i="9" s="1"/>
  <c r="E13" i="5"/>
  <c r="E33" i="11" s="1"/>
  <c r="E34" i="11" s="1"/>
  <c r="E27" i="7" s="1"/>
  <c r="E8" i="8" s="1"/>
  <c r="E43" i="7"/>
  <c r="I8" i="5"/>
  <c r="I42" i="7" s="1"/>
  <c r="I10" i="5"/>
  <c r="I9" i="7"/>
  <c r="I11" i="7" s="1"/>
  <c r="I12" i="7" s="1"/>
  <c r="I10" i="7"/>
  <c r="I12" i="5"/>
  <c r="I20" i="8"/>
  <c r="I43" i="8" s="1"/>
  <c r="I24" i="8"/>
  <c r="I42" i="8"/>
  <c r="I12" i="13"/>
  <c r="I13" i="13" s="1"/>
  <c r="H20" i="8"/>
  <c r="H43" i="8" s="1"/>
  <c r="H24" i="8"/>
  <c r="H20" i="10" s="1"/>
  <c r="H42" i="8"/>
  <c r="H12" i="13"/>
  <c r="H13" i="13" s="1"/>
  <c r="G20" i="8"/>
  <c r="G43" i="8" s="1"/>
  <c r="G24" i="8"/>
  <c r="G42" i="8"/>
  <c r="G12" i="13"/>
  <c r="G13" i="13" s="1"/>
  <c r="F20" i="8"/>
  <c r="F43" i="8" s="1"/>
  <c r="F24" i="8"/>
  <c r="F42" i="8"/>
  <c r="F12" i="13"/>
  <c r="F13" i="13" s="1"/>
  <c r="F43" i="7"/>
  <c r="F13" i="5"/>
  <c r="I24" i="10"/>
  <c r="I48" i="10"/>
  <c r="H24" i="10"/>
  <c r="H48" i="10"/>
  <c r="G24" i="10"/>
  <c r="G48" i="10"/>
  <c r="E25" i="11"/>
  <c r="F25" i="11"/>
  <c r="G25" i="11"/>
  <c r="H25" i="11"/>
  <c r="I25" i="11"/>
  <c r="I10" i="8"/>
  <c r="I33" i="8"/>
  <c r="F24" i="10"/>
  <c r="F48" i="10"/>
  <c r="E24" i="10"/>
  <c r="E48" i="10"/>
  <c r="I11" i="10"/>
  <c r="I7" i="9"/>
  <c r="I16" i="10"/>
  <c r="I17" i="10" s="1"/>
  <c r="I6" i="9"/>
  <c r="H11" i="10"/>
  <c r="H7" i="9"/>
  <c r="H16" i="10"/>
  <c r="H17" i="10" s="1"/>
  <c r="H6" i="9"/>
  <c r="G11" i="10"/>
  <c r="G7" i="9"/>
  <c r="G16" i="10"/>
  <c r="G17" i="10" s="1"/>
  <c r="G6" i="9"/>
  <c r="F11" i="10"/>
  <c r="F7" i="9"/>
  <c r="F16" i="10"/>
  <c r="F17" i="10" s="1"/>
  <c r="F6" i="9"/>
  <c r="E11" i="10"/>
  <c r="E7" i="9"/>
  <c r="E16" i="10"/>
  <c r="E17" i="10" s="1"/>
  <c r="E6" i="9"/>
  <c r="D40" i="9"/>
  <c r="D42" i="9" s="1"/>
  <c r="D44" i="9"/>
  <c r="H47" i="8"/>
  <c r="H44" i="10" s="1"/>
  <c r="E15" i="9"/>
  <c r="F15" i="9" s="1"/>
  <c r="G15" i="9" s="1"/>
  <c r="H15" i="9" s="1"/>
  <c r="E43" i="8"/>
  <c r="E47" i="8"/>
  <c r="E44" i="10" s="1"/>
  <c r="E20" i="10"/>
  <c r="H30" i="7"/>
  <c r="G6" i="13"/>
  <c r="H6" i="7"/>
  <c r="G7" i="7"/>
  <c r="G9" i="6"/>
  <c r="F10" i="6"/>
  <c r="E14" i="6"/>
  <c r="E11" i="6"/>
  <c r="E13" i="6" s="1"/>
  <c r="G14" i="5"/>
  <c r="F30" i="11"/>
  <c r="F25" i="7" s="1"/>
  <c r="E31" i="11"/>
  <c r="E26" i="7" s="1"/>
  <c r="I10" i="4"/>
  <c r="I18" i="7" s="1"/>
  <c r="I41" i="7" s="1"/>
  <c r="I15" i="7"/>
  <c r="H10" i="4"/>
  <c r="H18" i="7" s="1"/>
  <c r="H41" i="7" s="1"/>
  <c r="H15" i="7"/>
  <c r="G10" i="4"/>
  <c r="G18" i="7" s="1"/>
  <c r="G41" i="7" s="1"/>
  <c r="G15" i="7"/>
  <c r="F10" i="4"/>
  <c r="F18" i="7" s="1"/>
  <c r="F41" i="7" s="1"/>
  <c r="F15" i="7"/>
  <c r="E10" i="4"/>
  <c r="E15" i="7"/>
  <c r="G23" i="3"/>
  <c r="F25" i="3"/>
  <c r="F27" i="3"/>
  <c r="E26" i="3"/>
  <c r="E17" i="7" s="1"/>
  <c r="E40" i="7" s="1"/>
  <c r="E14" i="7"/>
  <c r="E13" i="3"/>
  <c r="G9" i="3"/>
  <c r="F11" i="3"/>
  <c r="F17" i="3"/>
  <c r="H31" i="11"/>
  <c r="H26" i="7" s="1"/>
  <c r="H33" i="11"/>
  <c r="H34" i="11" s="1"/>
  <c r="H27" i="7" s="1"/>
  <c r="H8" i="8" s="1"/>
  <c r="G31" i="11"/>
  <c r="G26" i="7" s="1"/>
  <c r="G33" i="11"/>
  <c r="G34" i="11" s="1"/>
  <c r="G27" i="7" s="1"/>
  <c r="G8" i="8" s="1"/>
  <c r="F31" i="11"/>
  <c r="F26" i="7" s="1"/>
  <c r="F33" i="11"/>
  <c r="F34" i="11" s="1"/>
  <c r="F27" i="7" s="1"/>
  <c r="F8" i="8" s="1"/>
  <c r="E11" i="9" l="1"/>
  <c r="E13" i="10"/>
  <c r="E16" i="8"/>
  <c r="I15" i="9"/>
  <c r="E37" i="9"/>
  <c r="I43" i="7"/>
  <c r="I13" i="5"/>
  <c r="I20" i="10"/>
  <c r="I47" i="8"/>
  <c r="I44" i="10" s="1"/>
  <c r="G47" i="8"/>
  <c r="G44" i="10" s="1"/>
  <c r="G20" i="10"/>
  <c r="F47" i="8"/>
  <c r="F44" i="10" s="1"/>
  <c r="F20" i="10"/>
  <c r="E9" i="9"/>
  <c r="E28" i="9"/>
  <c r="F9" i="9"/>
  <c r="F28" i="9"/>
  <c r="G9" i="9"/>
  <c r="G28" i="9"/>
  <c r="H9" i="9"/>
  <c r="H28" i="9"/>
  <c r="I9" i="9"/>
  <c r="I28" i="9"/>
  <c r="E23" i="6"/>
  <c r="D46" i="9"/>
  <c r="I30" i="7"/>
  <c r="I6" i="13" s="1"/>
  <c r="H6" i="13"/>
  <c r="I6" i="7"/>
  <c r="H7" i="7"/>
  <c r="H9" i="6"/>
  <c r="G10" i="6"/>
  <c r="F14" i="6"/>
  <c r="F11" i="6"/>
  <c r="F13" i="6" s="1"/>
  <c r="H14" i="5"/>
  <c r="G30" i="11"/>
  <c r="G25" i="7" s="1"/>
  <c r="I33" i="11"/>
  <c r="I34" i="11" s="1"/>
  <c r="I27" i="7" s="1"/>
  <c r="I8" i="8" s="1"/>
  <c r="C26" i="15"/>
  <c r="E26" i="15" s="1"/>
  <c r="F26" i="15" s="1"/>
  <c r="E18" i="7"/>
  <c r="E41" i="7" s="1"/>
  <c r="H23" i="3"/>
  <c r="G25" i="3"/>
  <c r="G27" i="3"/>
  <c r="F26" i="3"/>
  <c r="F17" i="7" s="1"/>
  <c r="F40" i="7" s="1"/>
  <c r="F14" i="7"/>
  <c r="E15" i="3"/>
  <c r="E18" i="3"/>
  <c r="H9" i="3"/>
  <c r="G11" i="3"/>
  <c r="G13" i="3" s="1"/>
  <c r="G17" i="3"/>
  <c r="H13" i="10"/>
  <c r="H11" i="9"/>
  <c r="H16" i="8"/>
  <c r="G13" i="10"/>
  <c r="G11" i="9"/>
  <c r="G16" i="8"/>
  <c r="F13" i="10"/>
  <c r="F11" i="9"/>
  <c r="F16" i="8"/>
  <c r="F13" i="3"/>
  <c r="F37" i="9" l="1"/>
  <c r="G37" i="9" s="1"/>
  <c r="H37" i="9" s="1"/>
  <c r="I37" i="9" s="1"/>
  <c r="I31" i="11"/>
  <c r="I26" i="7" s="1"/>
  <c r="D19" i="11"/>
  <c r="D20" i="11" s="1"/>
  <c r="D21" i="11" s="1"/>
  <c r="D22" i="11" s="1"/>
  <c r="E55" i="6"/>
  <c r="E24" i="6"/>
  <c r="E25" i="6"/>
  <c r="E26" i="6" s="1"/>
  <c r="I9" i="6"/>
  <c r="H10" i="6"/>
  <c r="G14" i="6"/>
  <c r="G11" i="6"/>
  <c r="G13" i="6" s="1"/>
  <c r="I14" i="5"/>
  <c r="H30" i="11"/>
  <c r="H25" i="7" s="1"/>
  <c r="E13" i="12"/>
  <c r="I13" i="10"/>
  <c r="I11" i="9"/>
  <c r="I16" i="8"/>
  <c r="I23" i="3"/>
  <c r="H25" i="3"/>
  <c r="H27" i="3"/>
  <c r="G26" i="3"/>
  <c r="G17" i="7" s="1"/>
  <c r="G40" i="7" s="1"/>
  <c r="G14" i="7"/>
  <c r="E16" i="3"/>
  <c r="E16" i="7" s="1"/>
  <c r="E13" i="7"/>
  <c r="E19" i="7" s="1"/>
  <c r="I9" i="3"/>
  <c r="H11" i="3"/>
  <c r="H17" i="3"/>
  <c r="G15" i="3"/>
  <c r="G18" i="3"/>
  <c r="F18" i="3"/>
  <c r="F15" i="3"/>
  <c r="I7" i="7"/>
  <c r="E30" i="10" l="1"/>
  <c r="E45" i="6"/>
  <c r="E34" i="6"/>
  <c r="E40" i="10" s="1"/>
  <c r="E49" i="10"/>
  <c r="E29" i="6"/>
  <c r="E27" i="6"/>
  <c r="I10" i="6"/>
  <c r="H14" i="6"/>
  <c r="F15" i="12" s="1"/>
  <c r="H11" i="6"/>
  <c r="H13" i="6" s="1"/>
  <c r="C27" i="15"/>
  <c r="E27" i="15" s="1"/>
  <c r="F27" i="15" s="1"/>
  <c r="I30" i="11"/>
  <c r="I25" i="7" s="1"/>
  <c r="I25" i="3"/>
  <c r="I27" i="3"/>
  <c r="H26" i="3"/>
  <c r="H17" i="7" s="1"/>
  <c r="H40" i="7" s="1"/>
  <c r="H14" i="7"/>
  <c r="E20" i="7"/>
  <c r="E39" i="7"/>
  <c r="E45" i="7" s="1"/>
  <c r="E34" i="7"/>
  <c r="E6" i="8" s="1"/>
  <c r="I17" i="3"/>
  <c r="I11" i="3"/>
  <c r="C23" i="15"/>
  <c r="E23" i="15" s="1"/>
  <c r="F23" i="15" s="1"/>
  <c r="H13" i="3"/>
  <c r="G16" i="3"/>
  <c r="G16" i="7" s="1"/>
  <c r="G13" i="7"/>
  <c r="G19" i="7" s="1"/>
  <c r="G34" i="7" s="1"/>
  <c r="G6" i="8" s="1"/>
  <c r="E27" i="11"/>
  <c r="F27" i="11"/>
  <c r="G27" i="11"/>
  <c r="E23" i="11"/>
  <c r="F23" i="11"/>
  <c r="G23" i="11"/>
  <c r="H23" i="11"/>
  <c r="I23" i="11"/>
  <c r="H27" i="11"/>
  <c r="I27" i="11"/>
  <c r="D18" i="15"/>
  <c r="F16" i="3"/>
  <c r="F16" i="7" s="1"/>
  <c r="F13" i="7"/>
  <c r="E35" i="7" l="1"/>
  <c r="C13" i="15"/>
  <c r="E13" i="15" s="1"/>
  <c r="F13" i="15" s="1"/>
  <c r="E33" i="9"/>
  <c r="E34" i="9"/>
  <c r="E28" i="10"/>
  <c r="E29" i="10"/>
  <c r="E42" i="6"/>
  <c r="E47" i="6"/>
  <c r="E29" i="8" s="1"/>
  <c r="E48" i="6"/>
  <c r="I14" i="6"/>
  <c r="I11" i="6"/>
  <c r="I26" i="3"/>
  <c r="I17" i="7" s="1"/>
  <c r="I40" i="7" s="1"/>
  <c r="I14" i="7"/>
  <c r="E7" i="8"/>
  <c r="E36" i="7"/>
  <c r="F8" i="10"/>
  <c r="E9" i="10"/>
  <c r="E5" i="13"/>
  <c r="C11" i="15"/>
  <c r="E11" i="15" s="1"/>
  <c r="F11" i="15" s="1"/>
  <c r="I13" i="3"/>
  <c r="H15" i="3"/>
  <c r="H18" i="3"/>
  <c r="G20" i="7"/>
  <c r="G35" i="7" s="1"/>
  <c r="G39" i="7"/>
  <c r="G45" i="7" s="1"/>
  <c r="G5" i="13"/>
  <c r="G7" i="13" s="1"/>
  <c r="H8" i="10"/>
  <c r="E29" i="9"/>
  <c r="E10" i="9"/>
  <c r="E35" i="11"/>
  <c r="F29" i="9"/>
  <c r="F10" i="9"/>
  <c r="F35" i="11"/>
  <c r="G29" i="9"/>
  <c r="G10" i="9"/>
  <c r="G35" i="11"/>
  <c r="E24" i="11"/>
  <c r="E11" i="8"/>
  <c r="E34" i="8"/>
  <c r="C18" i="15"/>
  <c r="E18" i="15" s="1"/>
  <c r="F18" i="15" s="1"/>
  <c r="F24" i="11"/>
  <c r="F11" i="8"/>
  <c r="F34" i="8"/>
  <c r="G24" i="11"/>
  <c r="G11" i="8"/>
  <c r="G34" i="8"/>
  <c r="H24" i="11"/>
  <c r="H11" i="8"/>
  <c r="H34" i="8"/>
  <c r="I24" i="11"/>
  <c r="I11" i="8"/>
  <c r="I34" i="8"/>
  <c r="H35" i="11"/>
  <c r="H10" i="9"/>
  <c r="H29" i="9"/>
  <c r="I35" i="11"/>
  <c r="I10" i="9"/>
  <c r="I29" i="9"/>
  <c r="F20" i="7"/>
  <c r="F35" i="7" s="1"/>
  <c r="F39" i="7"/>
  <c r="F45" i="7" s="1"/>
  <c r="F19" i="7"/>
  <c r="F34" i="7" s="1"/>
  <c r="F6" i="8" s="1"/>
  <c r="E33" i="6"/>
  <c r="E28" i="6"/>
  <c r="C33" i="15" l="1"/>
  <c r="E33" i="15" s="1"/>
  <c r="F33" i="15" s="1"/>
  <c r="E25" i="9"/>
  <c r="E38" i="10"/>
  <c r="E26" i="9"/>
  <c r="E33" i="10"/>
  <c r="I13" i="6"/>
  <c r="E14" i="8"/>
  <c r="E8" i="13"/>
  <c r="E10" i="13" s="1"/>
  <c r="C12" i="15"/>
  <c r="E12" i="15" s="1"/>
  <c r="F12" i="15" s="1"/>
  <c r="E31" i="10"/>
  <c r="E14" i="10"/>
  <c r="E8" i="9"/>
  <c r="E7" i="13"/>
  <c r="I15" i="3"/>
  <c r="I18" i="3"/>
  <c r="H16" i="3"/>
  <c r="H16" i="7" s="1"/>
  <c r="H13" i="7"/>
  <c r="G7" i="8"/>
  <c r="G36" i="7"/>
  <c r="E17" i="8"/>
  <c r="E12" i="10" s="1"/>
  <c r="E12" i="9"/>
  <c r="E40" i="8"/>
  <c r="E34" i="10" s="1"/>
  <c r="E31" i="9"/>
  <c r="F17" i="8"/>
  <c r="F12" i="10" s="1"/>
  <c r="F12" i="9"/>
  <c r="F40" i="8"/>
  <c r="F34" i="10" s="1"/>
  <c r="F31" i="9"/>
  <c r="G12" i="9"/>
  <c r="G17" i="8"/>
  <c r="G12" i="10" s="1"/>
  <c r="G40" i="8"/>
  <c r="G34" i="10" s="1"/>
  <c r="G31" i="9"/>
  <c r="H17" i="8"/>
  <c r="H12" i="10" s="1"/>
  <c r="H12" i="9"/>
  <c r="H40" i="8"/>
  <c r="H34" i="10" s="1"/>
  <c r="H31" i="9"/>
  <c r="I12" i="9"/>
  <c r="I17" i="8"/>
  <c r="I12" i="10" s="1"/>
  <c r="I40" i="8"/>
  <c r="I34" i="10" s="1"/>
  <c r="I31" i="9"/>
  <c r="F7" i="8"/>
  <c r="F36" i="7"/>
  <c r="F5" i="13"/>
  <c r="F7" i="13" s="1"/>
  <c r="F9" i="10"/>
  <c r="G8" i="10"/>
  <c r="E35" i="6"/>
  <c r="E39" i="6"/>
  <c r="E35" i="8"/>
  <c r="E36" i="8" s="1"/>
  <c r="E52" i="6"/>
  <c r="E44" i="6"/>
  <c r="E30" i="8" s="1"/>
  <c r="E15" i="8" l="1"/>
  <c r="E18" i="8" s="1"/>
  <c r="E37" i="8"/>
  <c r="E52" i="8"/>
  <c r="E11" i="13"/>
  <c r="E14" i="13"/>
  <c r="E36" i="10"/>
  <c r="E27" i="9"/>
  <c r="E13" i="9"/>
  <c r="C25" i="15"/>
  <c r="E25" i="15" s="1"/>
  <c r="F25" i="15" s="1"/>
  <c r="I16" i="3"/>
  <c r="I16" i="7" s="1"/>
  <c r="I13" i="7"/>
  <c r="I19" i="7" s="1"/>
  <c r="I34" i="7" s="1"/>
  <c r="I6" i="8" s="1"/>
  <c r="H20" i="7"/>
  <c r="H35" i="7" s="1"/>
  <c r="H39" i="7"/>
  <c r="H45" i="7" s="1"/>
  <c r="H19" i="7"/>
  <c r="H34" i="7" s="1"/>
  <c r="H6" i="8" s="1"/>
  <c r="G8" i="13"/>
  <c r="G10" i="13" s="1"/>
  <c r="F8" i="13"/>
  <c r="F10" i="13" s="1"/>
  <c r="F14" i="10"/>
  <c r="F8" i="9"/>
  <c r="G9" i="10"/>
  <c r="E39" i="10"/>
  <c r="E41" i="10" s="1"/>
  <c r="E32" i="9"/>
  <c r="E46" i="6"/>
  <c r="E36" i="6"/>
  <c r="E54" i="6"/>
  <c r="E31" i="8"/>
  <c r="E21" i="8" l="1"/>
  <c r="E10" i="10"/>
  <c r="E15" i="10" s="1"/>
  <c r="E38" i="8"/>
  <c r="E41" i="8"/>
  <c r="E56" i="6"/>
  <c r="F13" i="9"/>
  <c r="I20" i="7"/>
  <c r="I39" i="7"/>
  <c r="I45" i="7" s="1"/>
  <c r="I5" i="13"/>
  <c r="I7" i="13" s="1"/>
  <c r="H7" i="8"/>
  <c r="H36" i="7"/>
  <c r="H5" i="13"/>
  <c r="E5" i="12"/>
  <c r="H9" i="10"/>
  <c r="I8" i="10"/>
  <c r="I9" i="10" s="1"/>
  <c r="G11" i="13"/>
  <c r="G14" i="13"/>
  <c r="F11" i="13"/>
  <c r="F14" i="13"/>
  <c r="G8" i="9"/>
  <c r="G14" i="10"/>
  <c r="E49" i="6"/>
  <c r="E37" i="6"/>
  <c r="E38" i="6" s="1"/>
  <c r="E43" i="9" s="1"/>
  <c r="E53" i="6"/>
  <c r="E35" i="10"/>
  <c r="E30" i="9"/>
  <c r="E35" i="9" s="1"/>
  <c r="E39" i="8"/>
  <c r="E22" i="8" l="1"/>
  <c r="C14" i="15" s="1"/>
  <c r="E23" i="8"/>
  <c r="C15" i="15"/>
  <c r="E18" i="10"/>
  <c r="E44" i="8"/>
  <c r="E32" i="10"/>
  <c r="E37" i="10" s="1"/>
  <c r="G13" i="9"/>
  <c r="I35" i="7"/>
  <c r="I14" i="10"/>
  <c r="I8" i="9"/>
  <c r="E6" i="12"/>
  <c r="H8" i="13"/>
  <c r="H10" i="13" s="1"/>
  <c r="H7" i="13"/>
  <c r="G5" i="12"/>
  <c r="I5" i="12"/>
  <c r="D10" i="1"/>
  <c r="H14" i="10"/>
  <c r="H8" i="9"/>
  <c r="E14" i="15" l="1"/>
  <c r="F14" i="15"/>
  <c r="E15" i="15"/>
  <c r="F15" i="15"/>
  <c r="E45" i="8"/>
  <c r="E54" i="8" s="1"/>
  <c r="E58" i="6" s="1"/>
  <c r="E46" i="8"/>
  <c r="E53" i="8"/>
  <c r="E42" i="10"/>
  <c r="H13" i="9"/>
  <c r="I7" i="8"/>
  <c r="I36" i="7"/>
  <c r="C29" i="15" s="1"/>
  <c r="E29" i="15" s="1"/>
  <c r="F29" i="15" s="1"/>
  <c r="G6" i="12"/>
  <c r="I6" i="12"/>
  <c r="F11" i="1" s="1"/>
  <c r="D11" i="1"/>
  <c r="H11" i="13"/>
  <c r="H14" i="13"/>
  <c r="F10" i="1"/>
  <c r="E19" i="10"/>
  <c r="E21" i="10" s="1"/>
  <c r="E14" i="9"/>
  <c r="C16" i="15" l="1"/>
  <c r="E16" i="15" s="1"/>
  <c r="F16" i="15" s="1"/>
  <c r="E57" i="6"/>
  <c r="I13" i="9"/>
  <c r="C17" i="15"/>
  <c r="E17" i="15" s="1"/>
  <c r="F17" i="15" s="1"/>
  <c r="I8" i="13"/>
  <c r="E22" i="10"/>
  <c r="E23" i="10" s="1"/>
  <c r="E25" i="10"/>
  <c r="E19" i="9"/>
  <c r="E16" i="9"/>
  <c r="E43" i="10"/>
  <c r="E36" i="9"/>
  <c r="E45" i="10" l="1"/>
  <c r="I10" i="13"/>
  <c r="E22" i="9"/>
  <c r="F12" i="8"/>
  <c r="E21" i="9"/>
  <c r="E18" i="9"/>
  <c r="E20" i="9" s="1"/>
  <c r="E41" i="9"/>
  <c r="E45" i="9"/>
  <c r="E38" i="9"/>
  <c r="E50" i="10" l="1"/>
  <c r="E46" i="10"/>
  <c r="E47" i="10" s="1"/>
  <c r="I11" i="13"/>
  <c r="C35" i="15" s="1"/>
  <c r="E35" i="15" s="1"/>
  <c r="F35" i="15" s="1"/>
  <c r="I14" i="13"/>
  <c r="E25" i="8"/>
  <c r="F13" i="8"/>
  <c r="F14" i="8" s="1"/>
  <c r="E59" i="6"/>
  <c r="E26" i="8"/>
  <c r="E47" i="9"/>
  <c r="E40" i="9"/>
  <c r="E42" i="9" s="1"/>
  <c r="E48" i="8" s="1"/>
  <c r="E44" i="9"/>
  <c r="F15" i="8" l="1"/>
  <c r="F18" i="8" s="1"/>
  <c r="F23" i="6"/>
  <c r="E46" i="9"/>
  <c r="F21" i="8" l="1"/>
  <c r="F10" i="10"/>
  <c r="F55" i="6"/>
  <c r="F24" i="6"/>
  <c r="F25" i="6"/>
  <c r="F26" i="6" s="1"/>
  <c r="E60" i="6"/>
  <c r="E49" i="8"/>
  <c r="F14" i="9" l="1"/>
  <c r="F22" i="8"/>
  <c r="F23" i="8"/>
  <c r="F19" i="10" s="1"/>
  <c r="F15" i="10"/>
  <c r="F30" i="10"/>
  <c r="F29" i="6"/>
  <c r="F27" i="6"/>
  <c r="F49" i="10"/>
  <c r="F34" i="6"/>
  <c r="F40" i="10" s="1"/>
  <c r="F45" i="6"/>
  <c r="F19" i="9" l="1"/>
  <c r="F16" i="9"/>
  <c r="F18" i="10"/>
  <c r="F21" i="10" s="1"/>
  <c r="F47" i="6"/>
  <c r="F29" i="8" s="1"/>
  <c r="F48" i="6"/>
  <c r="F42" i="6"/>
  <c r="F29" i="10"/>
  <c r="F28" i="10"/>
  <c r="F33" i="9"/>
  <c r="F34" i="9"/>
  <c r="F33" i="6"/>
  <c r="F28" i="6"/>
  <c r="F22" i="9" l="1"/>
  <c r="G12" i="8"/>
  <c r="F21" i="9"/>
  <c r="F18" i="9"/>
  <c r="F20" i="9" s="1"/>
  <c r="F22" i="10"/>
  <c r="F23" i="10" s="1"/>
  <c r="F25" i="10"/>
  <c r="F31" i="10"/>
  <c r="F26" i="9"/>
  <c r="F33" i="10"/>
  <c r="F25" i="9"/>
  <c r="F38" i="10"/>
  <c r="F35" i="6"/>
  <c r="F39" i="6"/>
  <c r="F35" i="8"/>
  <c r="F36" i="8" s="1"/>
  <c r="F52" i="6"/>
  <c r="F44" i="6"/>
  <c r="F25" i="8" l="1"/>
  <c r="G13" i="8"/>
  <c r="G14" i="8" s="1"/>
  <c r="F59" i="6"/>
  <c r="F26" i="8"/>
  <c r="F36" i="10"/>
  <c r="F27" i="9"/>
  <c r="F39" i="10"/>
  <c r="F41" i="10" s="1"/>
  <c r="F32" i="9"/>
  <c r="F46" i="6"/>
  <c r="F36" i="6"/>
  <c r="F54" i="6"/>
  <c r="F31" i="8"/>
  <c r="F30" i="8"/>
  <c r="G15" i="8" l="1"/>
  <c r="G18" i="8" s="1"/>
  <c r="F49" i="6"/>
  <c r="F37" i="6"/>
  <c r="F38" i="6" s="1"/>
  <c r="F43" i="9" s="1"/>
  <c r="F53" i="6"/>
  <c r="F35" i="10"/>
  <c r="F30" i="9"/>
  <c r="F35" i="9" s="1"/>
  <c r="F39" i="8"/>
  <c r="F52" i="8"/>
  <c r="F56" i="6" s="1"/>
  <c r="F37" i="8"/>
  <c r="G21" i="8" l="1"/>
  <c r="G10" i="10"/>
  <c r="F38" i="8"/>
  <c r="F41" i="8" s="1"/>
  <c r="G22" i="8" l="1"/>
  <c r="G23" i="8"/>
  <c r="G15" i="10"/>
  <c r="F44" i="8"/>
  <c r="F32" i="10"/>
  <c r="F37" i="10" s="1"/>
  <c r="G18" i="10" l="1"/>
  <c r="F45" i="8"/>
  <c r="F54" i="8" s="1"/>
  <c r="F58" i="6" s="1"/>
  <c r="F46" i="8"/>
  <c r="F53" i="8"/>
  <c r="F57" i="6" s="1"/>
  <c r="F42" i="10"/>
  <c r="G19" i="10"/>
  <c r="G14" i="9"/>
  <c r="G21" i="10" l="1"/>
  <c r="G22" i="10"/>
  <c r="G23" i="10" s="1"/>
  <c r="G25" i="10"/>
  <c r="G16" i="9"/>
  <c r="G19" i="9"/>
  <c r="F43" i="10"/>
  <c r="F36" i="9"/>
  <c r="F45" i="10" l="1"/>
  <c r="H12" i="8"/>
  <c r="G21" i="9"/>
  <c r="G18" i="9"/>
  <c r="G20" i="9" s="1"/>
  <c r="G22" i="9"/>
  <c r="F41" i="9"/>
  <c r="F45" i="9"/>
  <c r="F38" i="9"/>
  <c r="F50" i="10" l="1"/>
  <c r="F46" i="10"/>
  <c r="F47" i="10" s="1"/>
  <c r="H13" i="8"/>
  <c r="H14" i="8" s="1"/>
  <c r="G59" i="6"/>
  <c r="G26" i="8"/>
  <c r="G25" i="8"/>
  <c r="F47" i="9"/>
  <c r="F40" i="9"/>
  <c r="F42" i="9" s="1"/>
  <c r="F48" i="8" s="1"/>
  <c r="F44" i="9"/>
  <c r="H15" i="8" l="1"/>
  <c r="H18" i="8" s="1"/>
  <c r="G23" i="6"/>
  <c r="F46" i="9"/>
  <c r="H21" i="8" l="1"/>
  <c r="H10" i="10"/>
  <c r="G55" i="6"/>
  <c r="G24" i="6"/>
  <c r="G25" i="6"/>
  <c r="G26" i="6" s="1"/>
  <c r="F60" i="6"/>
  <c r="F49" i="8"/>
  <c r="H22" i="8" l="1"/>
  <c r="E7" i="12" s="1"/>
  <c r="H23" i="8"/>
  <c r="H15" i="10"/>
  <c r="G30" i="10"/>
  <c r="G27" i="6"/>
  <c r="G29" i="6"/>
  <c r="G49" i="10"/>
  <c r="G34" i="6"/>
  <c r="G40" i="10" s="1"/>
  <c r="G45" i="6"/>
  <c r="G7" i="12" l="1"/>
  <c r="I7" i="12"/>
  <c r="D12" i="1"/>
  <c r="H18" i="10"/>
  <c r="H21" i="10" s="1"/>
  <c r="G48" i="6"/>
  <c r="G47" i="6"/>
  <c r="G29" i="8" s="1"/>
  <c r="G42" i="6"/>
  <c r="G29" i="10"/>
  <c r="G28" i="10"/>
  <c r="G33" i="9"/>
  <c r="G34" i="9"/>
  <c r="H19" i="10"/>
  <c r="H14" i="9"/>
  <c r="G33" i="6"/>
  <c r="G28" i="6"/>
  <c r="G44" i="6" l="1"/>
  <c r="F12" i="1"/>
  <c r="H22" i="10"/>
  <c r="H23" i="10" s="1"/>
  <c r="H25" i="10"/>
  <c r="G31" i="10"/>
  <c r="G26" i="9"/>
  <c r="G33" i="10"/>
  <c r="G25" i="9"/>
  <c r="G38" i="10"/>
  <c r="H16" i="9"/>
  <c r="H19" i="9"/>
  <c r="G35" i="6"/>
  <c r="G39" i="6"/>
  <c r="G35" i="8"/>
  <c r="G52" i="6"/>
  <c r="G30" i="8" l="1"/>
  <c r="G31" i="8"/>
  <c r="G54" i="6"/>
  <c r="G36" i="10"/>
  <c r="G27" i="9"/>
  <c r="I12" i="8"/>
  <c r="H21" i="9"/>
  <c r="H18" i="9"/>
  <c r="H20" i="9" s="1"/>
  <c r="H22" i="9"/>
  <c r="G39" i="10"/>
  <c r="G41" i="10" s="1"/>
  <c r="G32" i="9"/>
  <c r="G46" i="6"/>
  <c r="G36" i="6"/>
  <c r="G36" i="8"/>
  <c r="G52" i="8" l="1"/>
  <c r="G56" i="6" s="1"/>
  <c r="G37" i="8"/>
  <c r="G38" i="8" s="1"/>
  <c r="G35" i="10"/>
  <c r="G30" i="9"/>
  <c r="G35" i="9" s="1"/>
  <c r="G39" i="8"/>
  <c r="I13" i="8"/>
  <c r="I14" i="8" s="1"/>
  <c r="H59" i="6"/>
  <c r="H26" i="8"/>
  <c r="E9" i="12" s="1"/>
  <c r="H25" i="8"/>
  <c r="E8" i="12" s="1"/>
  <c r="G49" i="6"/>
  <c r="G37" i="6"/>
  <c r="G38" i="6" s="1"/>
  <c r="G43" i="9" s="1"/>
  <c r="G53" i="6"/>
  <c r="G41" i="8" l="1"/>
  <c r="I15" i="8"/>
  <c r="I18" i="8" s="1"/>
  <c r="G9" i="12"/>
  <c r="I9" i="12"/>
  <c r="F14" i="1" s="1"/>
  <c r="D14" i="1"/>
  <c r="G8" i="12"/>
  <c r="I8" i="12"/>
  <c r="D13" i="1"/>
  <c r="G32" i="10" l="1"/>
  <c r="G37" i="10" s="1"/>
  <c r="G44" i="8"/>
  <c r="G42" i="10"/>
  <c r="I21" i="8"/>
  <c r="I10" i="10"/>
  <c r="I10" i="12"/>
  <c r="F13" i="1"/>
  <c r="G45" i="8" l="1"/>
  <c r="G54" i="8" s="1"/>
  <c r="G58" i="6" s="1"/>
  <c r="G46" i="8"/>
  <c r="G36" i="9" s="1"/>
  <c r="G53" i="8"/>
  <c r="G57" i="6" s="1"/>
  <c r="I22" i="8"/>
  <c r="I23" i="8"/>
  <c r="I15" i="10"/>
  <c r="G43" i="10"/>
  <c r="G45" i="10" s="1"/>
  <c r="I18" i="10" l="1"/>
  <c r="G46" i="10"/>
  <c r="G47" i="10" s="1"/>
  <c r="G50" i="10"/>
  <c r="G41" i="9"/>
  <c r="G45" i="9"/>
  <c r="G38" i="9"/>
  <c r="I19" i="10"/>
  <c r="I14" i="9"/>
  <c r="I21" i="10" l="1"/>
  <c r="G47" i="9"/>
  <c r="G44" i="9"/>
  <c r="G40" i="9"/>
  <c r="G42" i="9" s="1"/>
  <c r="G48" i="8" s="1"/>
  <c r="I16" i="9"/>
  <c r="I19" i="9"/>
  <c r="I22" i="10" l="1"/>
  <c r="I25" i="10"/>
  <c r="C6" i="15" s="1"/>
  <c r="E6" i="15" s="1"/>
  <c r="F6" i="15" s="1"/>
  <c r="H23" i="6"/>
  <c r="G46" i="9"/>
  <c r="I21" i="9"/>
  <c r="I18" i="9"/>
  <c r="I20" i="9" s="1"/>
  <c r="I25" i="8" s="1"/>
  <c r="I22" i="9"/>
  <c r="C5" i="15" s="1"/>
  <c r="E5" i="15" s="1"/>
  <c r="F5" i="15" s="1"/>
  <c r="I23" i="10" l="1"/>
  <c r="H55" i="6"/>
  <c r="H24" i="6"/>
  <c r="H25" i="6"/>
  <c r="H26" i="6" s="1"/>
  <c r="G60" i="6"/>
  <c r="G49" i="8"/>
  <c r="I59" i="6"/>
  <c r="I26" i="8"/>
  <c r="H30" i="10" l="1"/>
  <c r="H49" i="10"/>
  <c r="H34" i="6"/>
  <c r="H40" i="10" s="1"/>
  <c r="H45" i="6"/>
  <c r="H29" i="6"/>
  <c r="H27" i="6"/>
  <c r="C7" i="15"/>
  <c r="E7" i="15" s="1"/>
  <c r="F7" i="15" s="1"/>
  <c r="H33" i="9" l="1"/>
  <c r="H34" i="9"/>
  <c r="H47" i="6"/>
  <c r="H48" i="6"/>
  <c r="H42" i="6"/>
  <c r="H28" i="10"/>
  <c r="H29" i="10"/>
  <c r="H33" i="6"/>
  <c r="H28" i="6"/>
  <c r="H29" i="8" l="1"/>
  <c r="F14" i="12"/>
  <c r="H25" i="9"/>
  <c r="H38" i="10"/>
  <c r="H26" i="9"/>
  <c r="H33" i="10"/>
  <c r="H35" i="6"/>
  <c r="H39" i="6"/>
  <c r="H35" i="8"/>
  <c r="H52" i="6"/>
  <c r="H44" i="6"/>
  <c r="H36" i="8" l="1"/>
  <c r="F5" i="12"/>
  <c r="H31" i="10"/>
  <c r="H39" i="10"/>
  <c r="H41" i="10" s="1"/>
  <c r="H32" i="9"/>
  <c r="H46" i="6"/>
  <c r="H36" i="6"/>
  <c r="H54" i="6"/>
  <c r="H31" i="8"/>
  <c r="H30" i="8"/>
  <c r="H5" i="12" l="1"/>
  <c r="J5" i="12"/>
  <c r="E10" i="1"/>
  <c r="H36" i="10"/>
  <c r="H27" i="9"/>
  <c r="H49" i="6"/>
  <c r="H37" i="6"/>
  <c r="H38" i="6" s="1"/>
  <c r="H43" i="9" s="1"/>
  <c r="H53" i="6"/>
  <c r="H35" i="10"/>
  <c r="H30" i="9"/>
  <c r="H39" i="8"/>
  <c r="F6" i="12"/>
  <c r="H52" i="8"/>
  <c r="H56" i="6" s="1"/>
  <c r="H37" i="8"/>
  <c r="H35" i="9" l="1"/>
  <c r="G10" i="1"/>
  <c r="H6" i="12"/>
  <c r="J6" i="12"/>
  <c r="G11" i="1" s="1"/>
  <c r="E11" i="1"/>
  <c r="H38" i="8"/>
  <c r="H41" i="8" s="1"/>
  <c r="H44" i="8" l="1"/>
  <c r="H32" i="10"/>
  <c r="H37" i="10" s="1"/>
  <c r="H45" i="8" l="1"/>
  <c r="H46" i="8"/>
  <c r="H53" i="8"/>
  <c r="H57" i="6" s="1"/>
  <c r="H42" i="10"/>
  <c r="H54" i="8" l="1"/>
  <c r="H58" i="6" s="1"/>
  <c r="F7" i="12"/>
  <c r="H43" i="10"/>
  <c r="H45" i="10" s="1"/>
  <c r="H36" i="9"/>
  <c r="H46" i="10" l="1"/>
  <c r="H47" i="10" s="1"/>
  <c r="H50" i="10"/>
  <c r="H7" i="12"/>
  <c r="J7" i="12"/>
  <c r="E12" i="1"/>
  <c r="H41" i="9"/>
  <c r="H45" i="9"/>
  <c r="H38" i="9"/>
  <c r="G12" i="1" l="1"/>
  <c r="H47" i="9"/>
  <c r="H44" i="9"/>
  <c r="H40" i="9"/>
  <c r="H42" i="9" s="1"/>
  <c r="H48" i="8" s="1"/>
  <c r="F8" i="12" s="1"/>
  <c r="E13" i="1" l="1"/>
  <c r="J8" i="12"/>
  <c r="H8" i="12"/>
  <c r="I23" i="6"/>
  <c r="H46" i="9"/>
  <c r="G13" i="1" l="1"/>
  <c r="I55" i="6"/>
  <c r="I24" i="6"/>
  <c r="I25" i="6"/>
  <c r="I26" i="6" s="1"/>
  <c r="H60" i="6"/>
  <c r="H49" i="8"/>
  <c r="F9" i="12" s="1"/>
  <c r="I30" i="10" l="1"/>
  <c r="I27" i="6"/>
  <c r="I28" i="6" s="1"/>
  <c r="D62" i="6" s="1"/>
  <c r="F16" i="12" s="1"/>
  <c r="I29" i="6"/>
  <c r="I34" i="6"/>
  <c r="I40" i="10" s="1"/>
  <c r="I45" i="6"/>
  <c r="I49" i="10"/>
  <c r="B18" i="12"/>
  <c r="D19" i="15"/>
  <c r="C19" i="15"/>
  <c r="E19" i="15" s="1"/>
  <c r="F19" i="15" s="1"/>
  <c r="H9" i="12"/>
  <c r="J9" i="12"/>
  <c r="E14" i="1"/>
  <c r="I33" i="6" l="1"/>
  <c r="I48" i="6"/>
  <c r="I47" i="6"/>
  <c r="I29" i="8" s="1"/>
  <c r="I42" i="6"/>
  <c r="I44" i="6" s="1"/>
  <c r="I29" i="10"/>
  <c r="I28" i="10"/>
  <c r="I33" i="9"/>
  <c r="I34" i="9"/>
  <c r="C20" i="15"/>
  <c r="E20" i="15" s="1"/>
  <c r="F20" i="15" s="1"/>
  <c r="I52" i="6"/>
  <c r="J10" i="12"/>
  <c r="G14" i="1"/>
  <c r="I35" i="8" l="1"/>
  <c r="C22" i="15"/>
  <c r="I39" i="6"/>
  <c r="I35" i="6"/>
  <c r="I31" i="10"/>
  <c r="I30" i="8"/>
  <c r="I31" i="8"/>
  <c r="I54" i="6"/>
  <c r="I26" i="9"/>
  <c r="I33" i="10"/>
  <c r="I25" i="9"/>
  <c r="I38" i="10"/>
  <c r="C34" i="15"/>
  <c r="E34" i="15" s="1"/>
  <c r="F34" i="15" s="1"/>
  <c r="B15" i="1"/>
  <c r="C36" i="15" s="1"/>
  <c r="E36" i="15" s="1"/>
  <c r="F36" i="15" s="1"/>
  <c r="I36" i="8" l="1"/>
  <c r="I37" i="8" s="1"/>
  <c r="E22" i="15"/>
  <c r="F22" i="15"/>
  <c r="I39" i="10"/>
  <c r="I41" i="10" s="1"/>
  <c r="I32" i="9"/>
  <c r="I46" i="6"/>
  <c r="I36" i="6"/>
  <c r="I27" i="9"/>
  <c r="I36" i="10"/>
  <c r="I52" i="8"/>
  <c r="I56" i="6" s="1"/>
  <c r="I35" i="10"/>
  <c r="I30" i="9"/>
  <c r="I39" i="8"/>
  <c r="I35" i="9" l="1"/>
  <c r="I49" i="6"/>
  <c r="I37" i="6"/>
  <c r="I53" i="6"/>
  <c r="I38" i="8"/>
  <c r="I41" i="8" s="1"/>
  <c r="I38" i="6" l="1"/>
  <c r="I44" i="8"/>
  <c r="I32" i="10"/>
  <c r="I45" i="8" l="1"/>
  <c r="I54" i="8" s="1"/>
  <c r="I58" i="6" s="1"/>
  <c r="I46" i="8"/>
  <c r="I53" i="8"/>
  <c r="I57" i="6" s="1"/>
  <c r="I37" i="10"/>
  <c r="I43" i="9"/>
  <c r="I42" i="10" l="1"/>
  <c r="I43" i="10"/>
  <c r="I36" i="9"/>
  <c r="I45" i="10" l="1"/>
  <c r="I41" i="9"/>
  <c r="I45" i="9"/>
  <c r="I38" i="9"/>
  <c r="I46" i="10" l="1"/>
  <c r="I50" i="10"/>
  <c r="C9" i="15" s="1"/>
  <c r="E9" i="15" s="1"/>
  <c r="F9" i="15" s="1"/>
  <c r="I47" i="9"/>
  <c r="C8" i="15" s="1"/>
  <c r="E8" i="15" s="1"/>
  <c r="F8" i="15" s="1"/>
  <c r="I44" i="9"/>
  <c r="I46" i="9" s="1"/>
  <c r="I40" i="9"/>
  <c r="I42" i="9" s="1"/>
  <c r="I48" i="8" s="1"/>
  <c r="C32" i="15" l="1"/>
  <c r="E32" i="15" s="1"/>
  <c r="F32" i="15" s="1"/>
  <c r="I47" i="10"/>
  <c r="C10" i="15" s="1"/>
  <c r="E10" i="15" s="1"/>
  <c r="F10" i="15" s="1"/>
  <c r="C21" i="15"/>
  <c r="I60" i="6"/>
  <c r="C28" i="15" s="1"/>
  <c r="E28" i="15" s="1"/>
  <c r="F28" i="15" s="1"/>
  <c r="I49" i="8"/>
  <c r="C30" i="15" s="1"/>
  <c r="E30" i="15" s="1"/>
  <c r="F30" i="15" s="1"/>
  <c r="C31" i="15"/>
  <c r="E31" i="15" s="1"/>
  <c r="F31" i="15" s="1"/>
  <c r="F21" i="15" l="1"/>
  <c r="E21" i="15"/>
  <c r="C38" i="15"/>
</calcChain>
</file>

<file path=xl/sharedStrings.xml><?xml version="1.0" encoding="utf-8"?>
<sst xmlns="http://schemas.openxmlformats.org/spreadsheetml/2006/main" count="1853" uniqueCount="880">
  <si>
    <t>三菱ケミカルグループ（4188） シナリオ財務モデル</t>
  </si>
  <si>
    <t>作成 2026-10-30。単位は億円（株数・1株指標を除く）。年度＝翌年3月期（2026年度＝2027年3月期）</t>
  </si>
  <si>
    <t>目的</t>
  </si>
  <si>
    <t>・会社予算（2026年度）を起点に、SM 本体は会社計画経路（切替で保守経路）とし、半導体材料（合成石英・リソマックス）・Zoox 向け CFRP・石化の再編（丸善千葉停止、水島停止、分社化と他社との合併）の上振れと下振れを数式で積み上げ、2029年度の中期経営計画の達成可否を JSR なし（ケースA）と JSR あり（ケースB）で比べる。</t>
  </si>
  <si>
    <t>DESIGN</t>
  </si>
  <si>
    <t>・入力は「前提」シートだけ。合併年度（2028／2029）、BM 公正価値の求め方、Zoox 単価、合成石英・リソマックスの基準売上は前提シートで切り替えられる。</t>
  </si>
  <si>
    <t>2029年度の中計達成状況（中計判定シートの数式参照）</t>
  </si>
  <si>
    <t>指標</t>
  </si>
  <si>
    <t>目標</t>
  </si>
  <si>
    <t>ケースA</t>
  </si>
  <si>
    <t>ケースB</t>
  </si>
  <si>
    <t>判定A</t>
  </si>
  <si>
    <t>判定B</t>
  </si>
  <si>
    <t>主要前提（前提シートの値）</t>
  </si>
  <si>
    <t>前提</t>
  </si>
  <si>
    <t>値</t>
  </si>
  <si>
    <t>単位</t>
  </si>
  <si>
    <t>BM の合併年度（期首）</t>
  </si>
  <si>
    <t>年度</t>
  </si>
  <si>
    <t>BM 合弁株式の公正価値（1＝倍率法、2＝簿価）</t>
  </si>
  <si>
    <t>番号</t>
  </si>
  <si>
    <t>合弁 EV の EV/EBITDA 倍率</t>
  </si>
  <si>
    <t>倍</t>
  </si>
  <si>
    <t>Zoox 1台あたり売上</t>
  </si>
  <si>
    <t>万円</t>
  </si>
  <si>
    <t>Zoox 台数（2027年度以降）</t>
  </si>
  <si>
    <t>台</t>
  </si>
  <si>
    <t>合成石英 2026年度売上（基準）</t>
  </si>
  <si>
    <t>億円</t>
  </si>
  <si>
    <t>リソマックス 2026年度売上（基準）</t>
  </si>
  <si>
    <t>WFE 成長率（2027年度）</t>
  </si>
  <si>
    <t>%</t>
  </si>
  <si>
    <t>SM 本体の基礎コア利益率（2029年度）</t>
  </si>
  <si>
    <t>MMA&amp;D コア営業利益（2029年度）</t>
  </si>
  <si>
    <t>産業ガス コア営業利益（2029年度）</t>
  </si>
  <si>
    <t>税率（会社予想当期利益に較正）</t>
  </si>
  <si>
    <t>金融費用率</t>
  </si>
  <si>
    <t>JSR 株式価値（報道、二次）</t>
  </si>
  <si>
    <t>SM 本体の基礎経路（1＝会社計画、2＝保守）</t>
  </si>
  <si>
    <t>持分法利益の二重課税を除く（1＝除く）</t>
  </si>
  <si>
    <t>JSR 第1段の取得比率</t>
  </si>
  <si>
    <t>JSR 持分法の上限</t>
  </si>
  <si>
    <t>JSR 取得の余力の基準（ネットD/E）</t>
  </si>
  <si>
    <t>ハイブリッド債で調達（1＝する）</t>
  </si>
  <si>
    <t>読むときの注意</t>
  </si>
  <si>
    <t>・2027年度の EPS 低下は、非経常▲400（分社化費用込み）と炭素撤退期の BM 赤字（▲120）による。</t>
  </si>
  <si>
    <t>・合併時の除外損（BM の連結除外）は、実務上は合併前の減損として先行計上されうる。計上年度と区分がずれる可能性がある。</t>
  </si>
  <si>
    <t>DIR2</t>
  </si>
  <si>
    <t>・BM の公正価値（中間 EBITDA×6倍）は資産規模6,000と見合わない。この差そのものが減損リスクである。</t>
  </si>
  <si>
    <t>・JSR の取得（ケースB）は、20%取得後、期首ごとにネットD/E 0.8 の余力の範囲で49%まで買い増し、余力が残り代金＋JSR 純有利子負債を上回った年度に全額取得する。ハイブリッド債の扱いは会社で未確認（切替の既定は使わない）。</t>
  </si>
  <si>
    <t>・本ブックは公開情報と仮定に基づく試算で、投資の勧誘や将来の業績の保証を目的としない。</t>
  </si>
  <si>
    <t>前提（入力はこのシートだけ）</t>
  </si>
  <si>
    <t>単位は億円（株数・株価・1株指標を除く）。年度＝翌年3月期（2026年度＝2027年3月期）。青字＝入力。区分：一次／二次／推計／仮定／設計（設計書が置いた値）／切替</t>
  </si>
  <si>
    <t>年度別の前提</t>
  </si>
  <si>
    <t>項目</t>
  </si>
  <si>
    <t>2025年度</t>
  </si>
  <si>
    <t>2026年度</t>
  </si>
  <si>
    <t>2027年度</t>
  </si>
  <si>
    <t>2028年度</t>
  </si>
  <si>
    <t>2029年度</t>
  </si>
  <si>
    <t>2030年度</t>
  </si>
  <si>
    <t>出典ID</t>
  </si>
  <si>
    <t>区分</t>
  </si>
  <si>
    <t>備考</t>
  </si>
  <si>
    <t>年度（数値）</t>
  </si>
  <si>
    <t>—</t>
  </si>
  <si>
    <t>数式の年度判定に使う</t>
  </si>
  <si>
    <t>SM 本体の基礎コア利益率</t>
  </si>
  <si>
    <t>DESIGN,M01,M02</t>
  </si>
  <si>
    <t>設計</t>
  </si>
  <si>
    <t>会社中計（新区分2029年度 15,700/1,550、9.9%）より保守的。2026年度は会社予算の900（7.28%）を使い、7.3%は参考表示</t>
  </si>
  <si>
    <t>ウエハ出荷面積の成長率</t>
  </si>
  <si>
    <t>SEMI-WAFER,RS-SEMI</t>
  </si>
  <si>
    <t>二次</t>
  </si>
  <si>
    <t>SEMI 2026-10（2026→29年 年+5.7%）を設計書が年別に配分</t>
  </si>
  <si>
    <t>WFE（前工程装置）の成長率</t>
  </si>
  <si>
    <t>SEMI-WFE,DESIGN</t>
  </si>
  <si>
    <t>一次（2027〜28）／仮定（2029〜30）</t>
  </si>
  <si>
    <t>2027・2028年は SEMI 年央予測。2029・2030年は仮定</t>
  </si>
  <si>
    <t>Zoox 向け台数</t>
  </si>
  <si>
    <t>NHTSA-555,QA01,DESIGN</t>
  </si>
  <si>
    <t>仮定（上限は二次）</t>
  </si>
  <si>
    <t>2026年度1,500台は会社予算に含まれると仮定。2027年度以降は NHTSA 免除上限の年2,500台</t>
  </si>
  <si>
    <t>MMA&amp;D コア営業利益</t>
  </si>
  <si>
    <t>M03,M08,M42,QA02,DESIGN</t>
  </si>
  <si>
    <t>一次（2026）／設計</t>
  </si>
  <si>
    <t>根拠は下の注記（MMA&amp;D）</t>
  </si>
  <si>
    <t>BM 基礎コア営業利益（市況・稼働率改善前）</t>
  </si>
  <si>
    <t>M03,M36,DESIGN</t>
  </si>
  <si>
    <t>2028年度で炭素撤退が完了</t>
  </si>
  <si>
    <t>BM 売上の増減（炭素撤退）</t>
  </si>
  <si>
    <t>M36,DESIGN</t>
  </si>
  <si>
    <t>炭素の下期撤退で2027年度▲500、2028年度▲500</t>
  </si>
  <si>
    <t>BM 売上の成長率（2029年度以降）</t>
  </si>
  <si>
    <t>産業ガス コア営業利益</t>
  </si>
  <si>
    <t>M03,G02,DESIGN</t>
  </si>
  <si>
    <t>日本酸素 NI2030 の2,500〜2,750より保守的</t>
  </si>
  <si>
    <t>その他 コア営業利益</t>
  </si>
  <si>
    <t>M03,DESIGN</t>
  </si>
  <si>
    <t>非経常損益（分社化費用・合併除外損益を除く）</t>
  </si>
  <si>
    <t>設計書の2027年度▲400は分社化費用▲50込み。ここでは▲350＋分社化費用（下の単一値）に分けた</t>
  </si>
  <si>
    <t>設備投資（BM 控除前。合併年度以降▲280）</t>
  </si>
  <si>
    <t>合併年度以降は BM 分を控除（単一値）</t>
  </si>
  <si>
    <t>減価償却（2028年度以降は BM 分を除いた後の値）</t>
  </si>
  <si>
    <t>M03,DESIGN,DIR2</t>
  </si>
  <si>
    <t>2028年度以降の列は BM 控除後。合併年度を2029にすると、2028年度に BM 分270を足し戻す</t>
  </si>
  <si>
    <t>JSR コア営業利益（基礎、フォトレジスト上振れ前）</t>
  </si>
  <si>
    <t>JSR-YUHO,DESIGN</t>
  </si>
  <si>
    <t>2025年度 405＋減損116＝521から成長。2030年までにコア1,000の目標を8%割引</t>
  </si>
  <si>
    <t>注1：MMA&amp;D の経路（110→170）の根拠：中国の能力が年16%増（2021〜25年）で需要を上回る。欧州撤退で生産が中国へ移り、地域分断で約30%シェアの事業モデルが崩れたと会社自身が認める（M08）。ルイジアナ新工場は長期契約が取れず2025年1月に中止（M42）。価格は紛争前1,400ドル弱→足元1,600〜1,700ドルだが中東要因の一時性が高い（QA02・QA01）。サウジ停止・台湾売却で当社能力も縮む。中計の MMA 450（利益率14%）には遠い。</t>
  </si>
  <si>
    <t>切替（感応度・シナリオ）</t>
  </si>
  <si>
    <t>BM の他社との合併年度（期首。2028 または 2029）</t>
  </si>
  <si>
    <t>切替</t>
  </si>
  <si>
    <t>IF で連結範囲・持分法・除外損益・設備投資控除が切り替わる</t>
  </si>
  <si>
    <t>BM 合弁株式の公正価値の求め方（1＝倍率法、2＝簿価）</t>
  </si>
  <si>
    <t>2＝簿価は再測定損益ゼロの比較用（追加の仮定）</t>
  </si>
  <si>
    <t>RS-ZOOX,M01,DESIGN</t>
  </si>
  <si>
    <t>推計</t>
  </si>
  <si>
    <t>幅600〜1,600万円。1Q のサブセグメント増収+102億円と生産ペースからの逆算</t>
  </si>
  <si>
    <t>RS-SEMI,DESIGN</t>
  </si>
  <si>
    <t>仮定</t>
  </si>
  <si>
    <t>開示なし。推計幅30〜150</t>
  </si>
  <si>
    <t>開示なし。幅60〜200</t>
  </si>
  <si>
    <t>SM 本体の基礎経路（1＝会社計画、2＝保守経路）</t>
  </si>
  <si>
    <t>DIR2,M01,M02</t>
  </si>
  <si>
    <t>会社計画：2029年度 15,700/1,550 へ線形。保守：+4%/年・利益率7.8〜9.0%</t>
  </si>
  <si>
    <t>JSR 全額取得年度の上書き（0＝自動判定）</t>
  </si>
  <si>
    <t>切替（追加）</t>
  </si>
  <si>
    <t>0 以外を入れるとその年度の期首に残り全株を取得（比較用）</t>
  </si>
  <si>
    <t>持分法利益への法人税の二重課税を除く（1＝除く、0＝設計書の当初式）</t>
  </si>
  <si>
    <t>持分法利益は税後の値なので連結の27%を掛けない。ROIC の分子も（コア−持分法）×(1−30%)＋持分法</t>
  </si>
  <si>
    <t>JSR 取得資金をハイブリッド債で一部調達（0＝しない、1＝する）</t>
  </si>
  <si>
    <t>切替（仮定）</t>
  </si>
  <si>
    <t>会社のハイブリッド債の扱い（発行有無・資本性評価）は未確認（M01・M03・M24・M15 を検索して記載なし）</t>
  </si>
  <si>
    <t>2026年度 会社予算（セグメント、M03 p20）</t>
  </si>
  <si>
    <t>スペシャリティ（SM）売上</t>
  </si>
  <si>
    <t>M03</t>
  </si>
  <si>
    <t>一次</t>
  </si>
  <si>
    <t>スペシャリティ（SM）コア営業利益</t>
  </si>
  <si>
    <t>MMA&amp;D 売上</t>
  </si>
  <si>
    <t>ベーシック（BM）売上</t>
  </si>
  <si>
    <t>その他 売上</t>
  </si>
  <si>
    <t>産業ガス 売上</t>
  </si>
  <si>
    <t>会社予算 売上合計</t>
  </si>
  <si>
    <t>検証用</t>
  </si>
  <si>
    <t>会社予算 コア営業利益合計</t>
  </si>
  <si>
    <t>会社予想 EPS（2026年度）</t>
  </si>
  <si>
    <t>円</t>
  </si>
  <si>
    <t>検証用（±5%）</t>
  </si>
  <si>
    <t>会社予想 親会社当期利益（2026年度）</t>
  </si>
  <si>
    <t>税率27%の較正先</t>
  </si>
  <si>
    <t>スペシャリティ（SM）本体・その他・産業ガス・MMA&amp;D</t>
  </si>
  <si>
    <t>SM 本体の売上成長率（保守経路）</t>
  </si>
  <si>
    <t>%/年</t>
  </si>
  <si>
    <t>SM 会社計画 売上（終点年度）</t>
  </si>
  <si>
    <t>M02,M01</t>
  </si>
  <si>
    <t>新区分の中計（2029年度）</t>
  </si>
  <si>
    <t>SM 会社計画 コア営業利益（終点年度）</t>
  </si>
  <si>
    <t>M01</t>
  </si>
  <si>
    <t>M01 p23：900→1,090→1,290→1,550。ここでは指示どおり線形（1,117・1,333）</t>
  </si>
  <si>
    <t>SM 会社計画の終点年度</t>
  </si>
  <si>
    <t>M01,DIR2</t>
  </si>
  <si>
    <t>2026年度から線形</t>
  </si>
  <si>
    <t>SM 会社計画経路：終点後の売上成長率</t>
  </si>
  <si>
    <t>指示</t>
  </si>
  <si>
    <t>SM 会社計画経路：終点後のコア利益率</t>
  </si>
  <si>
    <t>MMA&amp;D 売上成長率</t>
  </si>
  <si>
    <t>その他 売上成長率</t>
  </si>
  <si>
    <t>仮定（追加）</t>
  </si>
  <si>
    <t>設計書に記載なし。横ばいと置いた</t>
  </si>
  <si>
    <t>産業ガス 売上成長率</t>
  </si>
  <si>
    <t>合成石英（D_半導体）</t>
  </si>
  <si>
    <t>合成石英 コア利益率（参考表示）</t>
  </si>
  <si>
    <t>会社計画経路の成長率（2026→29、棒高さ1.60→2.00倍）</t>
  </si>
  <si>
    <t>M02,RS-SEMI</t>
  </si>
  <si>
    <t>一次（計測値）</t>
  </si>
  <si>
    <t>2024→29年 +15%/年（2026年説明会 p36）</t>
  </si>
  <si>
    <t>需要：WFE 成長に掛ける係数（新規ファブ立上げ分）</t>
  </si>
  <si>
    <t>能力指数 2026年度（完売＝需要指数の基準も1）</t>
  </si>
  <si>
    <t>指数</t>
  </si>
  <si>
    <t>QA01,RS-SEMI</t>
  </si>
  <si>
    <t>現有能力でフル販売</t>
  </si>
  <si>
    <t>能力：小改良による増分</t>
  </si>
  <si>
    <t>能力：小改良の開始年度</t>
  </si>
  <si>
    <t>能力：福岡の増強（+35%）</t>
  </si>
  <si>
    <t>能力：増強の稼働年度（2028年9月）</t>
  </si>
  <si>
    <t>能力：稼働年度に効く割合</t>
  </si>
  <si>
    <t>9月稼働で半年分</t>
  </si>
  <si>
    <t>合成石英の価格上昇率</t>
  </si>
  <si>
    <t>完売・Tier1</t>
  </si>
  <si>
    <t>合成石英の限界利益率（上振れ分）</t>
  </si>
  <si>
    <t>固定費吸収</t>
  </si>
  <si>
    <t>リソマックス（D_半導体）</t>
  </si>
  <si>
    <t>リソマックス 利益率（参考表示）</t>
  </si>
  <si>
    <t>会社計画経路の成長率</t>
  </si>
  <si>
    <t>会社の半導体材料市場前提6〜8%</t>
  </si>
  <si>
    <t>EUV・先端ミックスの上乗せ</t>
  </si>
  <si>
    <t>%pt/年</t>
  </si>
  <si>
    <t>M43,DESIGN</t>
  </si>
  <si>
    <t>仮定（開始年度は一次）</t>
  </si>
  <si>
    <t>福岡 EUV 新設が2027年度</t>
  </si>
  <si>
    <t>EUV ミックス上乗せの開始年度</t>
  </si>
  <si>
    <t>M03,RS-SEMI</t>
  </si>
  <si>
    <t>投資計画表で FY27 欄</t>
  </si>
  <si>
    <t>WFE 成長に掛ける係数</t>
  </si>
  <si>
    <t>リソマックスの限界利益率（上振れ分）</t>
  </si>
  <si>
    <t>Zoox 向け CFRP（D_Zoox）</t>
  </si>
  <si>
    <t>会社予算に含まれる台数（基準）</t>
  </si>
  <si>
    <t>上振れの利益率</t>
  </si>
  <si>
    <t>ベーシック（BM、D_石化）</t>
  </si>
  <si>
    <t>当社持分エチレン能力（非定修年）</t>
  </si>
  <si>
    <t>千t</t>
  </si>
  <si>
    <t>RS-PC</t>
  </si>
  <si>
    <t>推計（一次から）</t>
  </si>
  <si>
    <t>鹿島564＋水島567×50%</t>
  </si>
  <si>
    <t>2025年度 基礎化学品売上</t>
  </si>
  <si>
    <t>M03,RS-PC</t>
  </si>
  <si>
    <t>2025年度 生産推計</t>
  </si>
  <si>
    <t>RS-PC,DESIGN</t>
  </si>
  <si>
    <t>限界利益率（原料・仕入・用役控除）</t>
  </si>
  <si>
    <t>R01,RS-PC</t>
  </si>
  <si>
    <t>推計（代替）</t>
  </si>
  <si>
    <t>代替宣言：MCG は未開示。クラサス単体の原価明細で代用（ナフサ下落期・誘導品構成の違い・定修年不明が劣化点）</t>
  </si>
  <si>
    <t>丸善千葉停止による国内稼働率の上昇</t>
  </si>
  <si>
    <t>%pt</t>
  </si>
  <si>
    <t>J02,RS-PC</t>
  </si>
  <si>
    <t>71%→77%（生産一定の機械計算）</t>
  </si>
  <si>
    <t>丸善効果の開始年度</t>
  </si>
  <si>
    <t>水島の固定費（1基の目安）</t>
  </si>
  <si>
    <t>代替宣言：クラサス固定費約159億円で代用</t>
  </si>
  <si>
    <t>水島の当社持分</t>
  </si>
  <si>
    <t>残存設備の稼働率上昇</t>
  </si>
  <si>
    <t>水島停止による持分能力の減少率</t>
  </si>
  <si>
    <t>RS-PC,DIR2</t>
  </si>
  <si>
    <t>848→789千t。限界利益減＝持分能力×減少率×売上/千t×限界利益率（設計書の▲22は他パラメータと不整合のため式に変更）</t>
  </si>
  <si>
    <t>水島停止の年度</t>
  </si>
  <si>
    <t>分社化・合併（分社化・合併シート）</t>
  </si>
  <si>
    <t>分社化の年度（会社分割で子会社化と仮定）</t>
  </si>
  <si>
    <t>M07,DESIGN</t>
  </si>
  <si>
    <t>一次（時期）／仮定（手法）</t>
  </si>
  <si>
    <t>連結 BS は不変</t>
  </si>
  <si>
    <t>分社化の一時費用（非経常）</t>
  </si>
  <si>
    <t>切り出し BS：資産</t>
  </si>
  <si>
    <t>RS-SEG,DESIGN</t>
  </si>
  <si>
    <t>2025年度 BM&amp;P セグメント資産6,999から炭素分を控除</t>
  </si>
  <si>
    <t>切り出し BS：営業負債</t>
  </si>
  <si>
    <t>切り出し BS：配分する有利子負債（合弁へ移る）</t>
  </si>
  <si>
    <t>合弁の当社持分</t>
  </si>
  <si>
    <t>持分法</t>
  </si>
  <si>
    <t>合弁の規模（当社 BM に対する倍率、相手は同規模）</t>
  </si>
  <si>
    <t>統合効果（2年目以降、固定費の5%）</t>
  </si>
  <si>
    <t>億円/年</t>
  </si>
  <si>
    <t>初年度0。海外事例は固定費でのみ効く</t>
  </si>
  <si>
    <t>合弁の税率</t>
  </si>
  <si>
    <t>BM の減価償却（EBITDA 用）</t>
  </si>
  <si>
    <t>除外損益の税効果</t>
  </si>
  <si>
    <t>合併年度以降に控除する BM 設備投資</t>
  </si>
  <si>
    <t>一次（FY3/27 BM 279）</t>
  </si>
  <si>
    <t>BM 減価償却（合併前の年度で列に足し戻す額）</t>
  </si>
  <si>
    <t>M03,DIR2</t>
  </si>
  <si>
    <t>一次（FY3/27 BM 273）</t>
  </si>
  <si>
    <t>減価償却の列が BM 控除後となる最初の年度</t>
  </si>
  <si>
    <t>産業ガス・非支配株主</t>
  </si>
  <si>
    <t>日本酸素 当期利益（2026年度）</t>
  </si>
  <si>
    <t>N-FY26,RS-PLAN</t>
  </si>
  <si>
    <t>以後はコア比例</t>
  </si>
  <si>
    <t>日本酸素の非支配株主持分</t>
  </si>
  <si>
    <t>G03</t>
  </si>
  <si>
    <t>日本酸素の当社持分</t>
  </si>
  <si>
    <t>その他の非支配株主利益</t>
  </si>
  <si>
    <t>日本酸素配当のうち非支配株主分（2026年度）</t>
  </si>
  <si>
    <t>N-FY26,DESIGN</t>
  </si>
  <si>
    <t>以後は日本酸素当期利益に比例</t>
  </si>
  <si>
    <t>連結 PL・BS・CF</t>
  </si>
  <si>
    <t>金融費用率（期首純有利子負債に対し）</t>
  </si>
  <si>
    <t>税率（2026年度の会社予想当期利益1,270に較正）</t>
  </si>
  <si>
    <t>較正値</t>
  </si>
  <si>
    <t>ROIC の税率</t>
  </si>
  <si>
    <t>株式数（自己株除く、一定）</t>
  </si>
  <si>
    <t>百万株</t>
  </si>
  <si>
    <t>M24,DESIGN</t>
  </si>
  <si>
    <t>1株配当の下限</t>
  </si>
  <si>
    <t>M15</t>
  </si>
  <si>
    <t>配当性向の目安</t>
  </si>
  <si>
    <t>2026年3月末 親会社の所有者に帰属する持分</t>
  </si>
  <si>
    <t>2026年3月末 非支配持分</t>
  </si>
  <si>
    <t>資本合計24,147−17,617</t>
  </si>
  <si>
    <t>2026年3月末 純有利子負債</t>
  </si>
  <si>
    <t>現金及び現金同等物（一定）</t>
  </si>
  <si>
    <t>運転資本の増加（売上増分に対し）</t>
  </si>
  <si>
    <t>2025年度 連結売上（実績）</t>
  </si>
  <si>
    <t>M03,RS-PLAN</t>
  </si>
  <si>
    <t>2026年度の運転資本増の計算に使う（追加）</t>
  </si>
  <si>
    <t>JSR（D_JSR、ケースBのみ）</t>
  </si>
  <si>
    <t>JSR 株式価値</t>
  </si>
  <si>
    <t>NEWS-JSR ※二次</t>
  </si>
  <si>
    <t>JSR 純有利子負債（連結時に取り込む。一定）</t>
  </si>
  <si>
    <t>JSR-YUHO</t>
  </si>
  <si>
    <t>JSR 純資産（のれん計算用）</t>
  </si>
  <si>
    <t>有報の資本合計4,389.88億円</t>
  </si>
  <si>
    <t>第1段の取得比率（持分法）</t>
  </si>
  <si>
    <t>取得額＝株式価値×比率（2,000）</t>
  </si>
  <si>
    <t>持分法でいられる持分の上限</t>
  </si>
  <si>
    <t>49%到達後に全額取得を判定</t>
  </si>
  <si>
    <t>第1段の取得年度</t>
  </si>
  <si>
    <t>下期取得</t>
  </si>
  <si>
    <t>取得年度の持分法期間・金利期間</t>
  </si>
  <si>
    <t>下期取得で半年分</t>
  </si>
  <si>
    <t>コール行使価格の上昇率</t>
  </si>
  <si>
    <t>取得年度からの経過年数で複利</t>
  </si>
  <si>
    <t>コール行使可能期間（開始、各期首）</t>
  </si>
  <si>
    <t>NIKKEI-JIC,DIR2</t>
  </si>
  <si>
    <t>JIC の2031年までの出口と整合</t>
  </si>
  <si>
    <t>コール行使可能期間（終了）</t>
  </si>
  <si>
    <t>NIKKEI-JIC,DESIGN</t>
  </si>
  <si>
    <t>取得の余力：ネットD/E の上限</t>
  </si>
  <si>
    <t>M03,M15,DIR2</t>
  </si>
  <si>
    <t>一次（目安）</t>
  </si>
  <si>
    <t>余力＝0.8×前期末親会社持分−前期末純有利子負債（期首に判定・取得）</t>
  </si>
  <si>
    <t>ハイブリッド債で調達する比率（取得資金に対し）</t>
  </si>
  <si>
    <t>切替が1のときだけ効く</t>
  </si>
  <si>
    <t>ハイブリッド債の資本性（ネットD/E 計算で資本扱いする割合）</t>
  </si>
  <si>
    <t>格付会社の資本性評価は未確認</t>
  </si>
  <si>
    <t>ハイブリッド債の上乗せ金利</t>
  </si>
  <si>
    <t>通常の金融費用率2.0%に上乗せ</t>
  </si>
  <si>
    <t>JSR 2025年度売上</t>
  </si>
  <si>
    <t>JSR 売上成長率</t>
  </si>
  <si>
    <t>JSR 減価償却（連結後）</t>
  </si>
  <si>
    <t>JSR 設備投資（連結後）</t>
  </si>
  <si>
    <t>JSR 電子材料売上（2025年度）</t>
  </si>
  <si>
    <t>電子材料の基礎成長率</t>
  </si>
  <si>
    <t>JSR の目標 &gt;10%</t>
  </si>
  <si>
    <t>当社経路：WFE 成長に掛ける係数</t>
  </si>
  <si>
    <t>当社経路：EUV ミックス上乗せ</t>
  </si>
  <si>
    <t>2026年度は基礎経路と同じ（追加の仮定）</t>
  </si>
  <si>
    <t>フォトレジスト上振れの限界利益率</t>
  </si>
  <si>
    <t>JSR 金融費用（持分法期間）</t>
  </si>
  <si>
    <t>JSR 税率（持分法期間）</t>
  </si>
  <si>
    <t>中計目標（2029年度、M03 p37〜38・M15 p25）</t>
  </si>
  <si>
    <t>売上収益</t>
  </si>
  <si>
    <t>M03,M15</t>
  </si>
  <si>
    <t>コア営業利益</t>
  </si>
  <si>
    <t>EPS</t>
  </si>
  <si>
    <t>ROIC</t>
  </si>
  <si>
    <t>ネットD/E（以下）</t>
  </si>
  <si>
    <t>D_半導体（合成石英・リソマックス）</t>
  </si>
  <si>
    <t>上振れは「会社計画経路に対する増分」。2026年度は計画と同じ（上振れゼロ）</t>
  </si>
  <si>
    <t>出所・算式</t>
  </si>
  <si>
    <t>合成石英</t>
  </si>
  <si>
    <t>SEMI-WAFER</t>
  </si>
  <si>
    <t>WFE の成長率</t>
  </si>
  <si>
    <t>SEMI-WFE（2029〜30は仮定）</t>
  </si>
  <si>
    <t>需要の成長率</t>
  </si>
  <si>
    <t>ウエハ面積成長＋係数×WFE 成長</t>
  </si>
  <si>
    <t>需要指数（2026年度＝1）</t>
  </si>
  <si>
    <t>前年×(1＋需要の成長率)</t>
  </si>
  <si>
    <t>能力指数</t>
  </si>
  <si>
    <t>2026＝1.00、小改良＋0.05、2028年9月稼働の+0.35は初年度半分</t>
  </si>
  <si>
    <t>数量指数</t>
  </si>
  <si>
    <t>MIN(需要, 能力)</t>
  </si>
  <si>
    <t>価格指数</t>
  </si>
  <si>
    <t>+4%/年</t>
  </si>
  <si>
    <t>当社経路の売上</t>
  </si>
  <si>
    <t>基準売上×数量指数×価格指数</t>
  </si>
  <si>
    <t>会社計画経路の売上</t>
  </si>
  <si>
    <t>M02 p36（+7.7%/年）</t>
  </si>
  <si>
    <t>上振れ売上（当社−計画）</t>
  </si>
  <si>
    <t>上振れコア利益（限界利益率）</t>
  </si>
  <si>
    <t>売上差×45%</t>
  </si>
  <si>
    <t>取り逃し需要（能力超過分の売上）</t>
  </si>
  <si>
    <t>参考：当社経路のコア利益（利益率20%）</t>
  </si>
  <si>
    <t>リソマックス</t>
  </si>
  <si>
    <t>2027年度から+3pt（福岡 EUV 新設）</t>
  </si>
  <si>
    <t>当社経路の成長率</t>
  </si>
  <si>
    <t>ウエハ面積成長＋ミックス＋0.20×WFE 成長</t>
  </si>
  <si>
    <t>+7%/年</t>
  </si>
  <si>
    <t>売上差×35%</t>
  </si>
  <si>
    <t>参考：当社経路のコア利益（利益率15%）</t>
  </si>
  <si>
    <t>注1：合成石英・リソマックスの売上と利益は会社の開示が無い。基準売上（70・120）は感応度用の仮定で、前提シートで変えられる。</t>
  </si>
  <si>
    <t>注2：WFE とウエハ面積は暦年の値を年度に当てている（設計書どおり）。</t>
  </si>
  <si>
    <t>D_Zoox（Zoox 向け CFRP）</t>
  </si>
  <si>
    <t>上振れ＝(台数−会社予算に含まれる1,500台)×1台売上</t>
  </si>
  <si>
    <t>台数</t>
  </si>
  <si>
    <t>NHTSA-555（上限）・仮定</t>
  </si>
  <si>
    <t>会社予算に含まれる台数</t>
  </si>
  <si>
    <t>1台あたり売上</t>
  </si>
  <si>
    <t>億円/台</t>
  </si>
  <si>
    <t>1,000万円（推計）</t>
  </si>
  <si>
    <t>参考：Zoox 向け売上</t>
  </si>
  <si>
    <t>上振れ売上</t>
  </si>
  <si>
    <t>上振れコア利益</t>
  </si>
  <si>
    <t>売上差×15%</t>
  </si>
  <si>
    <t>注1：年2,500台は工場能力ではなく NHTSA の免除上限（二次。年か累計かは一次で未確定）。</t>
  </si>
  <si>
    <t>D_石化（ベーシック、当社単体ベース＝合併前）</t>
  </si>
  <si>
    <t>丸善千葉停止・水島停止の効果を基礎経路に足す。合併後の連結範囲は「分社化・合併」シート</t>
  </si>
  <si>
    <t>基礎コア営業利益</t>
  </si>
  <si>
    <t>売上/千t（2025年度）</t>
  </si>
  <si>
    <t>億円/千t</t>
  </si>
  <si>
    <t>5,743÷611</t>
  </si>
  <si>
    <t>稼働率1ptあたり利益</t>
  </si>
  <si>
    <t>億円/pt</t>
  </si>
  <si>
    <t>848千t×1%×売上/千t×限界利益率6.35%</t>
  </si>
  <si>
    <t>丸善千葉停止（稼働率+6pt）</t>
  </si>
  <si>
    <t>2027年度から</t>
  </si>
  <si>
    <t>水島停止：固定費削減</t>
  </si>
  <si>
    <t>160×50%</t>
  </si>
  <si>
    <t>水島停止：残存設備の稼働率上昇</t>
  </si>
  <si>
    <t>+4pt×1pt利益</t>
  </si>
  <si>
    <t>水島停止：能力減による限界利益減</t>
  </si>
  <si>
    <t>−848千t×7%×売上/千t×6.35%</t>
  </si>
  <si>
    <t>水島停止の効果 計</t>
  </si>
  <si>
    <t>BM コア営業利益（当社単体ベース）</t>
  </si>
  <si>
    <t>BM 売上（当社単体ベース）</t>
  </si>
  <si>
    <t>2027・2028年度は炭素撤退で各▲500、以後▲2%/年</t>
  </si>
  <si>
    <t>注1：限界利益率・固定費はクラサス単体の原価明細で代用（MCG は未開示。代替宣言は前提シート）。</t>
  </si>
  <si>
    <t>注2：合併後は、この単体ベースの BM コアが合弁利益の算定に使われる（合弁利益＝単体 BM コア×2＋統合効果）。</t>
  </si>
  <si>
    <t>D_JSR（ケースBのみ）</t>
  </si>
  <si>
    <t>取得年度の下期に20%を取得（持分法）。2028〜30年度の各期首に、余力の範囲で49%まで追加取得（コール）。49%到達後、余力が残り株式の代金＋JSR 純有利子負債以上になった最初の年度に全額取得（連結）。満たさなければ49%で据え置き</t>
  </si>
  <si>
    <t>JSR の業績とフォトレジスト上振れ</t>
  </si>
  <si>
    <t>JSR 売上（基礎）</t>
  </si>
  <si>
    <t>4,407×1.07^n</t>
  </si>
  <si>
    <t>電子材料売上（基礎、+10%/年）</t>
  </si>
  <si>
    <t>電子材料の当社経路の成長率</t>
  </si>
  <si>
    <t>ウエハ面積＋0.35×WFE＋EUV 2pt（2026は基礎と同じ）</t>
  </si>
  <si>
    <t>電子材料売上（当社経路）</t>
  </si>
  <si>
    <t>電子材料の上振れ売上</t>
  </si>
  <si>
    <t>フォトレジスト上振れ（コア）</t>
  </si>
  <si>
    <t>差分×30%</t>
  </si>
  <si>
    <t>JSR コア営業利益（基礎）</t>
  </si>
  <si>
    <t>JSR コア営業利益（上振れ込み）</t>
  </si>
  <si>
    <t>JSR 売上（上振れ込み）</t>
  </si>
  <si>
    <t>上振れ売上も加える（追加の仮定）</t>
  </si>
  <si>
    <t>取得の判定（期首、前期末のケースB の BS で判定）</t>
  </si>
  <si>
    <t>第1段 取得年度フラグ</t>
  </si>
  <si>
    <t>保有フラグ</t>
  </si>
  <si>
    <t>コール行使可能期間フラグ（各期首）</t>
  </si>
  <si>
    <t>行使価格（100%分の株式価値）</t>
  </si>
  <si>
    <t>1兆×(1+3%)^経過年数</t>
  </si>
  <si>
    <t>ハイブリッド債で調達する比率</t>
  </si>
  <si>
    <t>切替0なら0%</t>
  </si>
  <si>
    <t>取得額のうち資本扱いになる割合</t>
  </si>
  <si>
    <t>0.8 の余力（0.8×前期末親会社持分−前期末純有利子負債）</t>
  </si>
  <si>
    <t>ハイブリッド債があれば資本性調整後の値で計算</t>
  </si>
  <si>
    <t>余力で取得できる額</t>
  </si>
  <si>
    <t>余力÷(1−(1+0.8)×資本扱い割合)。切替0なら余力そのもの</t>
  </si>
  <si>
    <t>全額取得の自動判定（49%到達済み・余力≧残り代金＋JSR 純有利子負債）</t>
  </si>
  <si>
    <t>全額取得（期首、連結開始）</t>
  </si>
  <si>
    <t>前提の上書きが0なら自動判定</t>
  </si>
  <si>
    <t>追加取得の持分（期首、49%まで）</t>
  </si>
  <si>
    <t>MIN(49%−前期末持分, 取得できる額÷行使価格)</t>
  </si>
  <si>
    <t>持分比率（期末）</t>
  </si>
  <si>
    <t>連結フラグ</t>
  </si>
  <si>
    <t>支払額と資金調達</t>
  </si>
  <si>
    <t>第1段の取得額（下期）</t>
  </si>
  <si>
    <t>1兆×20%</t>
  </si>
  <si>
    <t>追加取得額（期首）</t>
  </si>
  <si>
    <t>全額取得の代金（期首、残り株式）</t>
  </si>
  <si>
    <t>持分法投資への払込（第1段＋追加取得）</t>
  </si>
  <si>
    <t>支払額 計</t>
  </si>
  <si>
    <t>うちハイブリッド債による調達</t>
  </si>
  <si>
    <t>ハイブリッド債の残高（期末）</t>
  </si>
  <si>
    <t>持分法期間と連結後</t>
  </si>
  <si>
    <t>持分法期間フラグ</t>
  </si>
  <si>
    <t>期間係数（取得年度は下期のみ）</t>
  </si>
  <si>
    <t>当社持分法利益（持分×(コア−金融費用100)×(1−27%)）</t>
  </si>
  <si>
    <t>期首取得なので期末持分を通年に当てる</t>
  </si>
  <si>
    <t>持分法投資の振替（連結時、前期末残高）</t>
  </si>
  <si>
    <t>JSR 持分法投資の残高</t>
  </si>
  <si>
    <t>JSR 連結売上</t>
  </si>
  <si>
    <t>JSR 連結コア営業利益</t>
  </si>
  <si>
    <t>のれん（全額取得年度、累計取得対価−JSR 純資産）</t>
  </si>
  <si>
    <t>参考表示</t>
  </si>
  <si>
    <t>出力</t>
  </si>
  <si>
    <t>持分比率</t>
  </si>
  <si>
    <t>支払額</t>
  </si>
  <si>
    <t>持分法利益／連結コア</t>
  </si>
  <si>
    <t>0.8 の余力（期首）</t>
  </si>
  <si>
    <t>JSR による増益：コア営業利益（B−A）</t>
  </si>
  <si>
    <t>JSR による増益：親会社当期利益（B−A）</t>
  </si>
  <si>
    <t>JSR による増益：EPS（B−A）</t>
  </si>
  <si>
    <t>ネットD/E（ケースA）</t>
  </si>
  <si>
    <t>ネットD/E（ケースB）</t>
  </si>
  <si>
    <t>全額取得（連結）の年度</t>
  </si>
  <si>
    <t>注1：JSR の純有利子負債（3,434）は連結時まで一定と置いた。持分法期間の金融費用は設計どおり年100。</t>
  </si>
  <si>
    <t>注2：連結時の既存持分の再測定損益は計上していない。のれんは償却しない（IFRS）。</t>
  </si>
  <si>
    <t>注3：ハイブリッド債の会社での扱い（発行有無・資本性）は未確認で、比率・資本性・上乗せ金利はすべて仮定。</t>
  </si>
  <si>
    <t>セグメント（ケースA＝JSRなし）</t>
  </si>
  <si>
    <t>2026年度は会社予算（M03 p20）。SM は基礎経路（既定＝会社計画）に上振れ（会社計画比の増分）を足す</t>
  </si>
  <si>
    <t>スペシャリティ（SM）</t>
  </si>
  <si>
    <t>保守経路：売上</t>
  </si>
  <si>
    <t>2026＝会社予算、以後+4%/年</t>
  </si>
  <si>
    <t>保守経路：コア営業利益</t>
  </si>
  <si>
    <t>利益率7.8→9.0%</t>
  </si>
  <si>
    <t>会社計画経路：売上</t>
  </si>
  <si>
    <t>12,370→15,700（2029）を線形、以後+4%</t>
  </si>
  <si>
    <t>会社計画経路：コア営業利益</t>
  </si>
  <si>
    <t>900→1,550（2029）を線形、以後利益率10.0%</t>
  </si>
  <si>
    <t>SM 本体 基礎売上（選択した経路）</t>
  </si>
  <si>
    <t>前提の切替（1＝会社計画）</t>
  </si>
  <si>
    <t>SM 本体 基礎コア営業利益（選択した経路）</t>
  </si>
  <si>
    <t>SM 本体 基礎コア利益率</t>
  </si>
  <si>
    <t>上振れ売上：合成石英</t>
  </si>
  <si>
    <t>上振れ売上：リソマックス</t>
  </si>
  <si>
    <t>上振れ売上：Zoox</t>
  </si>
  <si>
    <t>上振れコア：合成石英</t>
  </si>
  <si>
    <t>上振れコア：リソマックス</t>
  </si>
  <si>
    <t>上振れコア：Zoox</t>
  </si>
  <si>
    <t>SM 売上</t>
  </si>
  <si>
    <t>SM コア営業利益</t>
  </si>
  <si>
    <t>MMA&amp;D・ベーシック・その他・産業ガス</t>
  </si>
  <si>
    <t>BM 売上（連結範囲）</t>
  </si>
  <si>
    <t>合併後はゼロ</t>
  </si>
  <si>
    <t>BM コア営業利益（連結範囲）</t>
  </si>
  <si>
    <t>BM 合弁の持分法利益（コアに含む）</t>
  </si>
  <si>
    <t>成長率は仮定（0%）</t>
  </si>
  <si>
    <t>連結（ケースA）</t>
  </si>
  <si>
    <t>売上収益 計</t>
  </si>
  <si>
    <t>コア営業利益 計</t>
  </si>
  <si>
    <t>コア営業利益率</t>
  </si>
  <si>
    <t>上振れの内訳（コア営業利益への寄与）</t>
  </si>
  <si>
    <t>Zoox</t>
  </si>
  <si>
    <t>丸善千葉停止</t>
  </si>
  <si>
    <t>合併後は持分法経由（×50%×2×(1−30%)）</t>
  </si>
  <si>
    <t>水島停止</t>
  </si>
  <si>
    <t>同上</t>
  </si>
  <si>
    <t>合併統合効果</t>
  </si>
  <si>
    <t>当社持分50%×(1−30%)</t>
  </si>
  <si>
    <t>上振れ 計</t>
  </si>
  <si>
    <t>連結PL（ケースA＝JSRなし／ケースB＝JSRあり）</t>
  </si>
  <si>
    <t>当期利益＝(コア＋非経常−金融費用)×(1−27%)＋合併除外損益×(1−30%)−非支配株主利益</t>
  </si>
  <si>
    <t>ケースA（JSRなし＝本体）</t>
  </si>
  <si>
    <t>2025年度は実績（運転資本の計算用）</t>
  </si>
  <si>
    <t>うち持分法利益</t>
  </si>
  <si>
    <t>非経常損益（分社化・合併以外）</t>
  </si>
  <si>
    <t>分社化の一時費用</t>
  </si>
  <si>
    <t>合併除外損益（税前）</t>
  </si>
  <si>
    <t>期首純有利子負債（期首取引後）</t>
  </si>
  <si>
    <t>合併の負債移転は期首</t>
  </si>
  <si>
    <t>金融費用</t>
  </si>
  <si>
    <t>期首純有利子負債×2.0%</t>
  </si>
  <si>
    <t>税前利益（除外損益を除く）</t>
  </si>
  <si>
    <t>法人税等（27%）</t>
  </si>
  <si>
    <t>持分法利益の二重課税の戻し（切替）</t>
  </si>
  <si>
    <t>既定0＝設計どおり</t>
  </si>
  <si>
    <t>合併除外損益（税後30%）</t>
  </si>
  <si>
    <t>当期利益（非支配含む）</t>
  </si>
  <si>
    <t>日本酸素 当期利益</t>
  </si>
  <si>
    <t>2026＝1,310、以後コア比例</t>
  </si>
  <si>
    <t>非支配株主利益</t>
  </si>
  <si>
    <t>49.41%×日本酸素＋その他50</t>
  </si>
  <si>
    <t>親会社の所有者に帰属する当期利益</t>
  </si>
  <si>
    <t>÷1,358.7百万株</t>
  </si>
  <si>
    <t>配当（親会社株主）</t>
  </si>
  <si>
    <t>MAX(32円×株数, 35%×当期利益)</t>
  </si>
  <si>
    <t>配当（非支配株主）</t>
  </si>
  <si>
    <t>2026＝141、以後当期利益比例</t>
  </si>
  <si>
    <t>（コア−持分法）×(1−30%)＋持分法、÷(資本合計＋有利子負債)の期首期末平均（切替0なら設計書当初式）</t>
  </si>
  <si>
    <t>ネットD/E</t>
  </si>
  <si>
    <t>純有利子負債÷親会社持分（B はハイブリッド債の資本性調整後）</t>
  </si>
  <si>
    <t>ケースB（JSRあり）</t>
  </si>
  <si>
    <t>ケースA＋JSR 連結売上</t>
  </si>
  <si>
    <t>ケースA＋JSR 持分法利益＋JSR 連結コア</t>
  </si>
  <si>
    <t>JSR の追加取得・全額取得は期首（代金＋連結時の JSR 純有利子負債）</t>
  </si>
  <si>
    <t>＋第1段取得（下期）の半年分＋ハイブリッド債の上乗せ金利</t>
  </si>
  <si>
    <t>JSR による差（B−A）</t>
  </si>
  <si>
    <t>コア営業利益の差</t>
  </si>
  <si>
    <t>親会社当期利益の差</t>
  </si>
  <si>
    <t>EPS の差</t>
  </si>
  <si>
    <t>注1：持分法利益（合弁・JSR とも税後）はコア営業利益に含むが、連結の27%は掛けない（既定。切替0で設計書の当初式＝二重課税に戻る）。</t>
  </si>
  <si>
    <t>注2：金融費用は期首取引（合併の負債移転・JSR の期首取得）後の期首純有利子負債に掛ける。</t>
  </si>
  <si>
    <t>注3：2027年度の EPS 低下は、非経常▲400（分社化費用込み）と炭素撤退期の BM 赤字（▲120）による。</t>
  </si>
  <si>
    <t>注4：2028年度の合併除外損は、実務上は合併前の減損として先行計上されうる。BM の公正価値（EBITDA×6倍）が資産規模6,000と見合わないこと自体が減損リスクである。</t>
  </si>
  <si>
    <t>連結BS（簡略：正味営業資産＝親会社持分＋非支配持分＋純有利子負債）</t>
  </si>
  <si>
    <t>2025年度＝2026年3月末実績。純有利子負債は BS の差額で求め、連結CF の積み上げと一致するかを検証シートで確認</t>
  </si>
  <si>
    <t>2025年度末</t>
  </si>
  <si>
    <t>ケースA（JSRなし）</t>
  </si>
  <si>
    <t>＋設備投資</t>
  </si>
  <si>
    <t>−減価償却</t>
  </si>
  <si>
    <t>＋運転資本の増加</t>
  </si>
  <si>
    <t>−合併で連結から外れる BM 正味営業資産</t>
  </si>
  <si>
    <t>＋合弁株式（公正価値）</t>
  </si>
  <si>
    <t>＋持分法損益の積み上げ</t>
  </si>
  <si>
    <t>＋繰延税金資産（合併除外損の税効果、非資金）</t>
  </si>
  <si>
    <t>正味営業資産</t>
  </si>
  <si>
    <t>親会社の所有者に帰属する持分</t>
  </si>
  <si>
    <t>非支配持分</t>
  </si>
  <si>
    <t>純有利子負債（BS 差額）</t>
  </si>
  <si>
    <t>現金及び現金同等物</t>
  </si>
  <si>
    <t>有利子負債（純有利子負債＋現金）</t>
  </si>
  <si>
    <t>資本合計</t>
  </si>
  <si>
    <t>投下資本（資本合計＋有利子負債）</t>
  </si>
  <si>
    <t>均衡差（正味営業資産−資本合計−純有利子負債）</t>
  </si>
  <si>
    <t>＋JSR 株式の取得（持分法の期間）</t>
  </si>
  <si>
    <t>−JSR 持分法投資の振替（連結時）</t>
  </si>
  <si>
    <t>＋JSR 連結（純資産・のれん・取込負債）</t>
  </si>
  <si>
    <t>うちハイブリッド債の残高（純有利子負債に含む）</t>
  </si>
  <si>
    <t>純有利子負債（ハイブリッド債の資本性を控除）</t>
  </si>
  <si>
    <t>親会社持分（ハイブリッド債の資本性を加算）</t>
  </si>
  <si>
    <t>ネットD/E（資本性調整後）</t>
  </si>
  <si>
    <t>ハイブリッド切替0なら通常の定義と同じ</t>
  </si>
  <si>
    <t>注1：正味営業資産の各増減は連結CF・分社化・合併・D_JSR の行を参照する。2025年度末は M03 p13 の実績。</t>
  </si>
  <si>
    <t>連結CF（現金一定、借入増減で調整）</t>
  </si>
  <si>
    <t>純有利子負債（CF 由来）＝期首＋借入増減＋非資金の負債増減</t>
  </si>
  <si>
    <t>設備投資（金額）</t>
  </si>
  <si>
    <t>合併年度以降は BM 分▲280</t>
  </si>
  <si>
    <t>減価償却（金額）</t>
  </si>
  <si>
    <t>列は2028年度以降 BM 控除後。合併が2029年度なら2028年度に+270</t>
  </si>
  <si>
    <t>前年売上（同一連結範囲）</t>
  </si>
  <si>
    <t>合併初年度は前年の BM 売上を除いて比べる</t>
  </si>
  <si>
    <t>運転資本の増加</t>
  </si>
  <si>
    <t>売上増分×15%</t>
  </si>
  <si>
    <t>減価償却</t>
  </si>
  <si>
    <t>非資金の非経常（合併除外損益の戻し、税後）</t>
  </si>
  <si>
    <t>税効果は繰延税金資産（BS）で受け、現金の税負担減とはしない</t>
  </si>
  <si>
    <t>持分法損益（非資金）</t>
  </si>
  <si>
    <t>営業CF</t>
  </si>
  <si>
    <t>設備投資</t>
  </si>
  <si>
    <t>投資CF</t>
  </si>
  <si>
    <t>フリーCF</t>
  </si>
  <si>
    <t>借入の増減（現金一定）</t>
  </si>
  <si>
    <t>財務CF</t>
  </si>
  <si>
    <t>現金の増減</t>
  </si>
  <si>
    <t>非資金：合弁へ移る有利子負債</t>
  </si>
  <si>
    <t>純有利子負債（CF 由来）</t>
  </si>
  <si>
    <t>＋JSR 連結後300</t>
  </si>
  <si>
    <t>＋JSR 492</t>
  </si>
  <si>
    <t>全額取得年度は前年の JSR 売上を足して比べる</t>
  </si>
  <si>
    <t>JSR 株式の取得（第1段・追加取得）</t>
  </si>
  <si>
    <t>JSR 全額取得（残り株式）</t>
  </si>
  <si>
    <t>非資金：JSR 純有利子負債の取込</t>
  </si>
  <si>
    <t>注1：合併除外損益は税後の金額を非資金として戻す。税効果（30%）は繰延税金資産として正味営業資産に計上し、現金の税負担減とはしない（追加の仮定）。</t>
  </si>
  <si>
    <t>注2：持分法の投資先（合弁・JSR）は配当を出さないと仮定。</t>
  </si>
  <si>
    <t>分社化・合併（BM の切り出しと持分法化）</t>
  </si>
  <si>
    <t>分社化（2027年度、会社分割で子会社化と仮定）は連結 BS 不変。合併（期首）で BM を連結除外し、合弁株式を公正価値で計上</t>
  </si>
  <si>
    <t>年度判定</t>
  </si>
  <si>
    <t>合併後フラグ（1＝持分法）</t>
  </si>
  <si>
    <t>前提の合併年度で切替</t>
  </si>
  <si>
    <t>合併初年度フラグ</t>
  </si>
  <si>
    <t>分社化年度フラグ</t>
  </si>
  <si>
    <t>切り出し BS（2025年度末ベース、仮定）</t>
  </si>
  <si>
    <t>資産</t>
  </si>
  <si>
    <t>BM&amp;P セグメント資産6,999から炭素分を控除</t>
  </si>
  <si>
    <t>営業負債</t>
  </si>
  <si>
    <t>配分する有利子負債</t>
  </si>
  <si>
    <t>純資産</t>
  </si>
  <si>
    <t>正味営業資産（資産−営業負債）</t>
  </si>
  <si>
    <t>合弁の公正価値と除外損益</t>
  </si>
  <si>
    <t>BM の中間 EBITDA（2026〜30年度のコア平均＋減価償却）</t>
  </si>
  <si>
    <t>「中間」は5年平均と解釈（追加の仮定）</t>
  </si>
  <si>
    <t>合弁 EV（2×中間EBITDA×倍率）</t>
  </si>
  <si>
    <t>合弁株式の公正価値（倍率法：50%×EV−配分負債）</t>
  </si>
  <si>
    <t>合弁株式の計上額（切替後）</t>
  </si>
  <si>
    <t>1＝倍率法、2＝簿価</t>
  </si>
  <si>
    <t>合併除外損益（税前、非経常）</t>
  </si>
  <si>
    <t>IFRS10：残存持分の再測定。公正価値−除外純資産</t>
  </si>
  <si>
    <t>合併除外損益（税後、税効果30%）</t>
  </si>
  <si>
    <t>連結から外れる正味営業資産</t>
  </si>
  <si>
    <t>合弁へ移る有利子負債（非資金）</t>
  </si>
  <si>
    <t>合弁株式の計上</t>
  </si>
  <si>
    <t>連結範囲と持分法利益</t>
  </si>
  <si>
    <t>連結に含める BM 売上</t>
  </si>
  <si>
    <t>連結に含める BM コア営業利益</t>
  </si>
  <si>
    <t>統合効果（初年度0、2年目以降）</t>
  </si>
  <si>
    <t>合弁の利益（当社 BM コア×2＋統合効果）</t>
  </si>
  <si>
    <t>当社持分法利益（50%×合弁利益×(1−30%)、コアに含む）</t>
  </si>
  <si>
    <t>合弁株式の残高（配当なし、持分法損益を積み上げ）</t>
  </si>
  <si>
    <t>設備投資の控除（BM 分）</t>
  </si>
  <si>
    <t>減価償却の調整（列は2028年度以降 BM 控除後。合併前の年度は BM 分を足し戻す）</t>
  </si>
  <si>
    <t>注1：合弁は配当を出さないと仮定し、持分法損益は合弁株式の残高に積み上げる（CF では非資金として控除）。</t>
  </si>
  <si>
    <t>注2：合弁へ移る有利子負債500は純有利子負債を非資金で減らす。除外純資産4,800＝正味営業資産5,300−移転負債500。</t>
  </si>
  <si>
    <t>注3：切り出し BS は合併年度にかかわらず2025年度末ベースで一定と置いた。</t>
  </si>
  <si>
    <t>注4：合併時の除外損は、実務上は合併前の減損として先行計上されうる（計上年度と区分がずれる）。</t>
  </si>
  <si>
    <t>注5：BM の公正価値（中間 EBITDA×6倍から算出した合弁株式）は資産規模6,000と見合わない。この差そのものが減損リスクである。</t>
  </si>
  <si>
    <t>中計判定（2029年度）</t>
  </si>
  <si>
    <t>目標は M03 p37〜38・M15 p25（一次）。ケースA＝JSRなし、ケースB＝JSRあり</t>
  </si>
  <si>
    <t>A−目標</t>
  </si>
  <si>
    <t>B−目標</t>
  </si>
  <si>
    <t>達成項目数（5項目中）</t>
  </si>
  <si>
    <t>補足</t>
  </si>
  <si>
    <t>BM を合併で外したことによる2029年度の売上減</t>
  </si>
  <si>
    <t>JSR 連結による2029年度の売上増（ケースB）</t>
  </si>
  <si>
    <t>参考：JSR を全額連結した場合の2029年度売上（上振れ込み）</t>
  </si>
  <si>
    <t>JSR 全額取得（連結）の年度</t>
  </si>
  <si>
    <t>BM 合併年度（前提の切替）</t>
  </si>
  <si>
    <t>注1：BM を合併で外すと2029年度の売上は上の金額だけ減る。</t>
  </si>
  <si>
    <t>注2：2027年度の EPS 低下は、非経常▲400（分社化費用込み）と炭素撤退期の BM 赤字による。</t>
  </si>
  <si>
    <t>注3：合併時の除外損は、実務上は合併前の減損として先行計上されうる。BM の公正価値（EBITDA×6倍）が資産規模6,000と見合わないこと自体が減損リスクである。</t>
  </si>
  <si>
    <t>日本酸素_持分法換算（参考：本体の会計は連結のまま）</t>
  </si>
  <si>
    <t>日本酸素を持分法（50.59%）で見た場合の化学事業のみの売上・コアと当社取込利益（ケースA）</t>
  </si>
  <si>
    <t>連結売上（ケースA）</t>
  </si>
  <si>
    <t>−産業ガス売上</t>
  </si>
  <si>
    <t>化学事業のみの売上</t>
  </si>
  <si>
    <t>連結コア営業利益（ケースA）</t>
  </si>
  <si>
    <t>−産業ガス コア</t>
  </si>
  <si>
    <t>化学事業のみのコア営業利益</t>
  </si>
  <si>
    <t>化学事業のみのコア利益率</t>
  </si>
  <si>
    <t>当社取込利益（50.59%×日本酸素当期利益）</t>
  </si>
  <si>
    <t>参考：化学のみコア＋日本酸素取込</t>
  </si>
  <si>
    <t>出典</t>
  </si>
  <si>
    <t>出典ID は前提シートの出典ID列と対応。「※二次」は報道・転載</t>
  </si>
  <si>
    <t>資料名（使用箇所）</t>
  </si>
  <si>
    <t>発行者</t>
  </si>
  <si>
    <t>公表日</t>
  </si>
  <si>
    <t>URL・保存先</t>
  </si>
  <si>
    <t>2026年3月期 決算説明（p20 セグメント別予想、p13 連結財政状態、p35〜36 設備投資・減価償却、p37〜39 中計目標と経営指標算定式）</t>
  </si>
  <si>
    <t>三菱ケミカルグループ</t>
  </si>
  <si>
    <t>2026-05-13</t>
  </si>
  <si>
    <t>https://www.mcgc.com/ir/pdf/02626/02884.pdf</t>
  </si>
  <si>
    <t>2027年3月期 第1四半期 決算説明（p22 炭素繊維サブセグメント、p23 SM・コンポジット経路）</t>
  </si>
  <si>
    <t>2026-07-31</t>
  </si>
  <si>
    <t>https://www.mcgc.com/ir/pdf/02722/02959.pdf</t>
  </si>
  <si>
    <t>M02</t>
  </si>
  <si>
    <t>事業戦略説明会2026（p36 合成石英 売上CAGR+15%・FY28生産開始）</t>
  </si>
  <si>
    <t>2026-05-25</t>
  </si>
  <si>
    <t>https://www.mcgc.com/ir/pdf/02652/02900.pdf</t>
  </si>
  <si>
    <t>IR Day 2025（p25 キャピタルアロケーション・ネットD/E 0.8以下、p21 MMA能力・シェア約30%）</t>
  </si>
  <si>
    <t>2025-12-18</t>
  </si>
  <si>
    <t>https://www.mcgc.com/ir/pdf/02499/02739.pdf</t>
  </si>
  <si>
    <t>M08</t>
  </si>
  <si>
    <t>MMA&amp;D 事業責任者説明（欧州撤退・中国へ生産移転・地域分断で従来モデルが崩れた）</t>
  </si>
  <si>
    <t>2026-09</t>
  </si>
  <si>
    <t>https://www.mcgc.com/ir/hub/feature/2026/mma-derivatives.html</t>
  </si>
  <si>
    <t>M42</t>
  </si>
  <si>
    <t>米国ルイジアナ州 MMA 新設の検討中止（英語版、2025-01-07）。注：data/shared/mcgc_ir の manifest.json では M42 は別文書（事業戦略説明会2025 質疑）として登録されており ID が衝突している。ここでは plan_bs_mma の用法（ディスク上の M42.pdf の中身）に従う</t>
  </si>
  <si>
    <t>2025-01-07</t>
  </si>
  <si>
    <t>https://www.mcgc.com/english/ir/pdf/02170/02474.pdf</t>
  </si>
  <si>
    <t>M24</t>
  </si>
  <si>
    <t>2027年3月期 第1四半期 決算短信（p2 株式数、p8 連結財政状態計算書）</t>
  </si>
  <si>
    <t>2026-08-07</t>
  </si>
  <si>
    <t>https://www.mcgc.com/ir/pdf/02720/02957.pdf</t>
  </si>
  <si>
    <t>M26</t>
  </si>
  <si>
    <t>2026年3月期 決算短信〔IFRS〕（セグメント資産・持分法損益）</t>
  </si>
  <si>
    <t>https://www.mcgc.com/ir/pdf/02624/02882.pdf</t>
  </si>
  <si>
    <t>M36</t>
  </si>
  <si>
    <t>コークス及び炭素材の事業撤退</t>
  </si>
  <si>
    <t>2026-02-02</t>
  </si>
  <si>
    <t>https://www.mcgc.com/ir/pdf/02533/02781.pdf</t>
  </si>
  <si>
    <t>M07</t>
  </si>
  <si>
    <t>石油化学事業の分社化の検討開始</t>
  </si>
  <si>
    <t>https://www2.jpx.co.jp/disc/41880/140120260525545853.pdf</t>
  </si>
  <si>
    <t>M43</t>
  </si>
  <si>
    <t>リソマックス 生産能力増強（福岡）ニュースリリース</t>
  </si>
  <si>
    <t>2024-06-12</t>
  </si>
  <si>
    <t>https://www.mcgc.com/news_release/01981.html</t>
  </si>
  <si>
    <t>QA01</t>
  </si>
  <si>
    <t>2026年7月31日 決算説明会トランスクリプト（Zoox 計画数量・合成石英の足元・MMA 市況）</t>
  </si>
  <si>
    <t>https://www.mcgc.com/ir/pdf/02722/02979.pdf</t>
  </si>
  <si>
    <t>QA02</t>
  </si>
  <si>
    <t>2026年5月13日 決算説明会トランスクリプト（MMA 紛争前市況1,400ドル弱・稼働率発言）</t>
  </si>
  <si>
    <t>https://www.mcgc.com/ir/pdf/02626/02977.pdf</t>
  </si>
  <si>
    <t>R01</t>
  </si>
  <si>
    <t>クラサスケミカル 上場申請書類（Iの部）p103〜104 単体原価明細（限界利益率6.35%・固定費約159億円の算出元）</t>
  </si>
  <si>
    <t>クラサスケミカル</t>
  </si>
  <si>
    <t>2026-09-07</t>
  </si>
  <si>
    <t>https://www.jpx.co.jp/listing/stocks/new/t13vrt000001xstd-att/09CrasusChemical-1s.pdf</t>
  </si>
  <si>
    <t>J02</t>
  </si>
  <si>
    <t>石油化学工業協会 月次実績（エチレン実質稼働率）</t>
  </si>
  <si>
    <t>石油化学工業協会</t>
  </si>
  <si>
    <t>2026-08-20</t>
  </si>
  <si>
    <t>https://www.jpca.or.jp/files/statistics/monthly/memo/202607_memo.pdf</t>
  </si>
  <si>
    <t>G02</t>
  </si>
  <si>
    <t>日本酸素HD 中期経営計画 Next Innovation 2030（コア営業利益2,500〜2,750億円）</t>
  </si>
  <si>
    <t>日本酸素ホールディングス</t>
  </si>
  <si>
    <t>2026-03-30</t>
  </si>
  <si>
    <t>https://jp.nipponsanso.com/LinkClick.aspx?fileticket=Lhnd0VNfT7w%3d</t>
  </si>
  <si>
    <t>日本酸素HD 株式情報（大株主、当社持分50.59%）</t>
  </si>
  <si>
    <t>2026-03-31</t>
  </si>
  <si>
    <t>https://jp.nipponsanso.com/en/ir/stock/state.html</t>
  </si>
  <si>
    <t>N-FY26</t>
  </si>
  <si>
    <t>日本酸素HD 2026年3月期 決算短信（当期利益・配当）</t>
  </si>
  <si>
    <t>2026-05</t>
  </si>
  <si>
    <t>D:\開発用フォルダ\data\shared\nipponsanso_ir\ （iXBRL）</t>
  </si>
  <si>
    <t>SEMI-WFE</t>
  </si>
  <si>
    <t>SEMI 年央 半導体製造装置市場予測（WFE 2027年+21.8%、2028年+14.1%）</t>
  </si>
  <si>
    <t>SEMI</t>
  </si>
  <si>
    <t>2026-07-14</t>
  </si>
  <si>
    <t xml:space="preserve">D:\開発用フォルダ\data\shared\semi_market_public\ </t>
  </si>
  <si>
    <t>SEMI シリコンウエハ出荷面積予測（2026年14,420MSI、2029年17,034MSI。転載で確認）</t>
  </si>
  <si>
    <t>SEMI（Semiconductor Digest 等の転載）</t>
  </si>
  <si>
    <t>2026-10-21</t>
  </si>
  <si>
    <t>semis_drivers_20261030.md 1.5節</t>
  </si>
  <si>
    <t>※二次</t>
  </si>
  <si>
    <t>NHTSA-555</t>
  </si>
  <si>
    <t>NHTSA Part 555 免除（Zoox、12か月あたり2,500台上限。Federal Register 2026-07-31 を引用する転載）</t>
  </si>
  <si>
    <t>businessmodelanalyst.com・Motor1・Sidley 等</t>
  </si>
  <si>
    <t>2026-07〜08</t>
  </si>
  <si>
    <t>zoox_cpc_20261030.md 1章</t>
  </si>
  <si>
    <t>JSR 有価証券報告書 2026年3月期（売上4,407億円、営業利益405億円、減損116億円、D&amp;A 492億円、純有利子負債3,434億円、資本合計4,390億円、電子材料売上1,960億円、2030年コア1,000億円目標）</t>
  </si>
  <si>
    <t>JSR（EDINET E39283）</t>
  </si>
  <si>
    <t>2026-06-24</t>
  </si>
  <si>
    <t>D:\開発用フォルダ\data\shared\jsr_ir\jsr_yuho_fy2025_20260331.pdf</t>
  </si>
  <si>
    <t>NEWS-JSR</t>
  </si>
  <si>
    <t>JSR 売却 1兆円超の報道（株式価値か企業価値かは不明）</t>
  </si>
  <si>
    <t>報道</t>
  </si>
  <si>
    <t>2026-09-18</t>
  </si>
  <si>
    <t>events_20261028.md 1章</t>
  </si>
  <si>
    <t>NIKKEI-JIC</t>
  </si>
  <si>
    <t>JIC 瀬口CEO 会見（2031年までに上場または売却を検討）</t>
  </si>
  <si>
    <t>日本経済新聞</t>
  </si>
  <si>
    <t>2026-06-26</t>
  </si>
  <si>
    <t>plan_bs_mma_20261030.md 5-2</t>
  </si>
  <si>
    <t>RS-SEMI</t>
  </si>
  <si>
    <t>内部調査メモ：半導体ドライバー（WFE・ウエハ面積・合成石英・リソマックス・JSR）</t>
  </si>
  <si>
    <t>0055 調査ワーカー</t>
  </si>
  <si>
    <t>2026-10-30</t>
  </si>
  <si>
    <t>research\semis_drivers_20261030.md</t>
  </si>
  <si>
    <t>RS-ZOOX</t>
  </si>
  <si>
    <t>内部調査メモ：Zoox / CPC（1台売上の手がかり）</t>
  </si>
  <si>
    <t>research\zoox_cpc_20261030.md</t>
  </si>
  <si>
    <t>内部調査メモ：石化（持分能力848千t・稼働率・クラサス原価・分社化）</t>
  </si>
  <si>
    <t>research\petchem_20261030.md</t>
  </si>
  <si>
    <t>RS-PLAN</t>
  </si>
  <si>
    <t>内部調査メモ：中計2029・直近BS・MMA・日本酸素・JSR取得手法</t>
  </si>
  <si>
    <t>research\plan_bs_mma_20261030.md</t>
  </si>
  <si>
    <t>RS-RES</t>
  </si>
  <si>
    <t>内部調査メモ：事業再編オプション（分社化手法・JSR の PPA）</t>
  </si>
  <si>
    <t>2026-10-29</t>
  </si>
  <si>
    <t>research\restructuring_20261029.md</t>
  </si>
  <si>
    <t>RS-SEG</t>
  </si>
  <si>
    <t>内部調査メモ：セグメントデータ（BM&amp;P セグメント資産6,999億円 等）</t>
  </si>
  <si>
    <t>2026-10-23</t>
  </si>
  <si>
    <t>research\segment_data.md</t>
  </si>
  <si>
    <t>シナリオ財務モデル 設計書（司令塔）。設計書が置いた前提値・仮定の出所</t>
  </si>
  <si>
    <t>0055 司令塔</t>
  </si>
  <si>
    <t>research\scenario_model_design_20261030.md</t>
  </si>
  <si>
    <t>司令塔の修正指示（2026-10-30、v2：二重課税の除去・減価償却の扱い・水島の能力減の式・SM 会社計画経路・JSR 取得構造・ハイブリッド債）</t>
  </si>
  <si>
    <t>司令塔メッセージ（ワーカー宛て）</t>
  </si>
  <si>
    <t>注1：mcgc_ir の M01〜M43 は D:\開発用フォルダ\data\shared\mcgc_ir\（manifest.json＋_meta.yaml）。内部調査メモは D:\開発用フォルダ\data\projects\0055_equity-research-workbook\4188_20261022\research\。</t>
  </si>
  <si>
    <t>検証</t>
  </si>
  <si>
    <t>許容差：金額は0.01億円、EPS は会社予想の±5%。判定は PASS／FAIL</t>
  </si>
  <si>
    <t>検査項目</t>
  </si>
  <si>
    <t>基準</t>
  </si>
  <si>
    <t>差</t>
  </si>
  <si>
    <t>判定</t>
  </si>
  <si>
    <t>内容</t>
  </si>
  <si>
    <t>BS 均衡（ケースA）：|正味営業資産−資本合計−純有利子負債| の最大値</t>
  </si>
  <si>
    <t>純有利子負債を BS の差額で求めているため恒等的に0（構造の確認）</t>
  </si>
  <si>
    <t>CF 由来の純有利子負債＝BS の純有利子負債（ケースA、2025〜30年度の差の絶対値合計）</t>
  </si>
  <si>
    <t>実質の検査：利益・配当・非資金項目・取得の流れが BS と整合するか</t>
  </si>
  <si>
    <t>現金の増減＝0（ケースA、2026〜30年度の絶対値合計）</t>
  </si>
  <si>
    <t>現金一定の仮定</t>
  </si>
  <si>
    <t>BS 均衡（ケースB）：|正味営業資産−資本合計−純有利子負債| の最大値</t>
  </si>
  <si>
    <t>CF 由来の純有利子負債＝BS の純有利子負債（ケースB、2025〜30年度の差の絶対値合計）</t>
  </si>
  <si>
    <t>現金の増減＝0（ケースB、2026〜30年度の絶対値合計）</t>
  </si>
  <si>
    <t>2026年度 売上＝会社予算</t>
  </si>
  <si>
    <t>M03 p20</t>
  </si>
  <si>
    <t>2026年度 コア営業利益＝会社予算</t>
  </si>
  <si>
    <t>2026年度 セグメント別：SM 売上・コアが会社予算（合計の差）</t>
  </si>
  <si>
    <t>上振れは2026年度ゼロ</t>
  </si>
  <si>
    <t>2026年度 ケースA の EPS が会社予想の±5%以内</t>
  </si>
  <si>
    <t>会社予想93.5円</t>
  </si>
  <si>
    <t>2026年度 ケースA の親会社当期利益（参考：会社予想1,270との比）</t>
  </si>
  <si>
    <t>税率27%の較正</t>
  </si>
  <si>
    <t>ケースB−ケースA：2026年度は差がない（JSR は2027年度から）</t>
  </si>
  <si>
    <t>セグメント合計＝連結PL（コア、2026〜30年度の差の絶対値合計）</t>
  </si>
  <si>
    <t>合併除外損益は合併初年度だけ（計上年度の数）</t>
  </si>
  <si>
    <t>JSR の全額取得は高々1回</t>
  </si>
  <si>
    <t>JSR 連結前の持分は49%以下（超過分の最大値）</t>
  </si>
  <si>
    <t>ケースB のネットD/E（ハイブリッド切替0のとき）≦0.8：各年度の最大値</t>
  </si>
  <si>
    <t>切替が1のときは参考表示（判定は PASS）</t>
  </si>
  <si>
    <t>持分法の取得額は余力以内（追加取得額−余力で取得できる額の最大値）</t>
  </si>
  <si>
    <t>≦0なら PASS</t>
  </si>
  <si>
    <t>合成石英の数量指数は能力以下</t>
  </si>
  <si>
    <t>数量≦能力（差≦0なら PASS）</t>
  </si>
  <si>
    <t>数式エラーの数：前提</t>
  </si>
  <si>
    <t>数式エラーの数：D_半導体</t>
  </si>
  <si>
    <t>数式エラーの数：D_Zoox</t>
  </si>
  <si>
    <t>数式エラーの数：D_石化</t>
  </si>
  <si>
    <t>数式エラーの数：D_JSR</t>
  </si>
  <si>
    <t>数式エラーの数：セグメント</t>
  </si>
  <si>
    <t>数式エラーの数：連結PL</t>
  </si>
  <si>
    <t>数式エラーの数：連結BS</t>
  </si>
  <si>
    <t>数式エラーの数：連結CF</t>
  </si>
  <si>
    <t>数式エラーの数：分社化・合併</t>
  </si>
  <si>
    <t>数式エラーの数：中計判定</t>
  </si>
  <si>
    <t>数式エラーの数：日本酸素_持分法換算</t>
  </si>
  <si>
    <t>数式エラーの数：表紙</t>
  </si>
  <si>
    <t>FAIL の数</t>
  </si>
  <si>
    <t>注1：EPS の検査は設計書の「会社予想（約93.5円）と±5%以内」。数式エラーは各シートの A1:L220 を ISERROR で数える。</t>
  </si>
  <si>
    <t>注2：再計算は erw.recalc（Excel COM）で行い、全シートの数式エラーもブック外で検査した。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</si>
</sst>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;\▲0.0%"/>
    <numFmt numFmtId="177" formatCode="#,##0;\▲#,##0"/>
    <numFmt numFmtId="178" formatCode="#,##0.0;\▲#,##0.0"/>
    <numFmt numFmtId="179" formatCode="#,##0.00;\▲#,##0.00"/>
    <numFmt numFmtId="180" formatCode="0.00%;\▲0.00%"/>
    <numFmt numFmtId="181" formatCode="0.0&quot;倍&quot;;\▲0.0&quot;倍&quot;"/>
    <numFmt numFmtId="182" formatCode="0.000"/>
  </numFmts>
  <fonts count="9" x14ac:knownFonts="1">
    <font>
      <sz val="11"/>
      <color theme="1"/>
      <name val="ＭＳ Ｐゴシック"/>
      <family val="2"/>
      <scheme val="minor"/>
    </font>
    <font>
      <b/>
      <sz val="14"/>
      <color rgb="FF1F3864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b/>
      <sz val="11"/>
      <color rgb="FF1F3864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color rgb="FF0000FF"/>
      <name val="游ゴシック"/>
      <family val="3"/>
      <charset val="128"/>
    </font>
    <font>
      <sz val="10"/>
      <color rgb="FF008000"/>
      <name val="游ゴシック"/>
      <family val="3"/>
      <charset val="128"/>
    </font>
    <font>
      <b/>
      <sz val="10"/>
      <color rgb="FF008000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vertical="top"/>
    </xf>
    <xf numFmtId="177" fontId="4" fillId="0" borderId="0" xfId="0" applyNumberFormat="1" applyFont="1" applyAlignment="1">
      <alignment vertical="top"/>
    </xf>
    <xf numFmtId="178" fontId="2" fillId="0" borderId="0" xfId="0" applyNumberFormat="1" applyFont="1" applyAlignment="1">
      <alignment vertical="top"/>
    </xf>
    <xf numFmtId="178" fontId="4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176" fontId="4" fillId="0" borderId="0" xfId="0" applyNumberFormat="1" applyFont="1" applyAlignment="1">
      <alignment vertical="top"/>
    </xf>
    <xf numFmtId="0" fontId="2" fillId="0" borderId="3" xfId="0" applyFont="1" applyBorder="1" applyAlignment="1">
      <alignment vertical="top"/>
    </xf>
    <xf numFmtId="179" fontId="2" fillId="0" borderId="3" xfId="0" applyNumberFormat="1" applyFont="1" applyBorder="1" applyAlignment="1">
      <alignment vertical="top"/>
    </xf>
    <xf numFmtId="179" fontId="4" fillId="0" borderId="3" xfId="0" applyNumberFormat="1" applyFont="1" applyBorder="1" applyAlignment="1">
      <alignment vertical="top"/>
    </xf>
    <xf numFmtId="1" fontId="2" fillId="0" borderId="0" xfId="0" applyNumberFormat="1" applyFont="1" applyAlignment="1">
      <alignment vertical="top"/>
    </xf>
    <xf numFmtId="181" fontId="2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" fontId="2" fillId="0" borderId="3" xfId="0" applyNumberFormat="1" applyFont="1" applyBorder="1" applyAlignment="1">
      <alignment vertical="top"/>
    </xf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" fontId="5" fillId="0" borderId="0" xfId="0" applyNumberFormat="1" applyFont="1"/>
    <xf numFmtId="176" fontId="5" fillId="0" borderId="0" xfId="0" applyNumberFormat="1" applyFont="1"/>
    <xf numFmtId="177" fontId="5" fillId="0" borderId="0" xfId="0" applyNumberFormat="1" applyFont="1"/>
    <xf numFmtId="0" fontId="2" fillId="0" borderId="3" xfId="0" applyFont="1" applyBorder="1"/>
    <xf numFmtId="0" fontId="0" fillId="0" borderId="3" xfId="0" applyBorder="1"/>
    <xf numFmtId="177" fontId="5" fillId="0" borderId="3" xfId="0" applyNumberFormat="1" applyFont="1" applyBorder="1"/>
    <xf numFmtId="0" fontId="2" fillId="0" borderId="3" xfId="0" applyFont="1" applyBorder="1" applyAlignment="1">
      <alignment vertical="top" wrapText="1"/>
    </xf>
    <xf numFmtId="0" fontId="0" fillId="2" borderId="2" xfId="0" applyFill="1" applyBorder="1"/>
    <xf numFmtId="1" fontId="5" fillId="0" borderId="3" xfId="0" applyNumberFormat="1" applyFont="1" applyBorder="1"/>
    <xf numFmtId="178" fontId="5" fillId="0" borderId="0" xfId="0" applyNumberFormat="1" applyFont="1"/>
    <xf numFmtId="176" fontId="5" fillId="0" borderId="3" xfId="0" applyNumberFormat="1" applyFont="1" applyBorder="1"/>
    <xf numFmtId="179" fontId="5" fillId="0" borderId="0" xfId="0" applyNumberFormat="1" applyFont="1"/>
    <xf numFmtId="180" fontId="5" fillId="0" borderId="0" xfId="0" applyNumberFormat="1" applyFont="1"/>
    <xf numFmtId="181" fontId="5" fillId="0" borderId="0" xfId="0" applyNumberFormat="1" applyFont="1"/>
    <xf numFmtId="179" fontId="5" fillId="0" borderId="3" xfId="0" applyNumberFormat="1" applyFont="1" applyBorder="1"/>
    <xf numFmtId="176" fontId="6" fillId="0" borderId="0" xfId="0" applyNumberFormat="1" applyFont="1"/>
    <xf numFmtId="182" fontId="6" fillId="0" borderId="0" xfId="0" applyNumberFormat="1" applyFont="1"/>
    <xf numFmtId="182" fontId="2" fillId="0" borderId="0" xfId="0" applyNumberFormat="1" applyFont="1"/>
    <xf numFmtId="178" fontId="6" fillId="0" borderId="0" xfId="0" applyNumberFormat="1" applyFont="1"/>
    <xf numFmtId="0" fontId="4" fillId="0" borderId="0" xfId="0" applyFont="1"/>
    <xf numFmtId="178" fontId="4" fillId="0" borderId="0" xfId="0" applyNumberFormat="1" applyFont="1"/>
    <xf numFmtId="178" fontId="7" fillId="0" borderId="0" xfId="0" applyNumberFormat="1" applyFont="1"/>
    <xf numFmtId="178" fontId="2" fillId="0" borderId="0" xfId="0" applyNumberFormat="1" applyFont="1"/>
    <xf numFmtId="177" fontId="6" fillId="0" borderId="0" xfId="0" applyNumberFormat="1" applyFont="1"/>
    <xf numFmtId="0" fontId="4" fillId="0" borderId="3" xfId="0" applyFont="1" applyBorder="1"/>
    <xf numFmtId="178" fontId="7" fillId="0" borderId="3" xfId="0" applyNumberFormat="1" applyFont="1" applyBorder="1"/>
    <xf numFmtId="179" fontId="6" fillId="0" borderId="0" xfId="0" applyNumberFormat="1" applyFont="1"/>
    <xf numFmtId="177" fontId="7" fillId="0" borderId="3" xfId="0" applyNumberFormat="1" applyFont="1" applyBorder="1"/>
    <xf numFmtId="177" fontId="2" fillId="0" borderId="0" xfId="0" applyNumberFormat="1" applyFont="1"/>
    <xf numFmtId="1" fontId="6" fillId="0" borderId="0" xfId="0" applyNumberFormat="1" applyFont="1"/>
    <xf numFmtId="177" fontId="7" fillId="0" borderId="0" xfId="0" applyNumberFormat="1" applyFont="1"/>
    <xf numFmtId="1" fontId="7" fillId="0" borderId="0" xfId="0" applyNumberFormat="1" applyFont="1"/>
    <xf numFmtId="180" fontId="6" fillId="0" borderId="0" xfId="0" applyNumberFormat="1" applyFont="1"/>
    <xf numFmtId="176" fontId="7" fillId="0" borderId="0" xfId="0" applyNumberFormat="1" applyFont="1"/>
    <xf numFmtId="1" fontId="2" fillId="0" borderId="0" xfId="0" applyNumberFormat="1" applyFont="1"/>
    <xf numFmtId="177" fontId="4" fillId="0" borderId="0" xfId="0" applyNumberFormat="1" applyFont="1"/>
    <xf numFmtId="176" fontId="2" fillId="0" borderId="0" xfId="0" applyNumberFormat="1" applyFont="1"/>
    <xf numFmtId="0" fontId="7" fillId="0" borderId="0" xfId="0" applyFont="1"/>
    <xf numFmtId="179" fontId="7" fillId="0" borderId="0" xfId="0" applyNumberFormat="1" applyFont="1"/>
    <xf numFmtId="179" fontId="4" fillId="0" borderId="0" xfId="0" applyNumberFormat="1" applyFont="1"/>
    <xf numFmtId="179" fontId="2" fillId="0" borderId="0" xfId="0" applyNumberFormat="1" applyFont="1"/>
    <xf numFmtId="179" fontId="6" fillId="0" borderId="3" xfId="0" applyNumberFormat="1" applyFont="1" applyBorder="1"/>
    <xf numFmtId="179" fontId="7" fillId="0" borderId="3" xfId="0" applyNumberFormat="1" applyFont="1" applyBorder="1"/>
    <xf numFmtId="179" fontId="2" fillId="0" borderId="3" xfId="0" applyNumberFormat="1" applyFont="1" applyBorder="1"/>
    <xf numFmtId="1" fontId="4" fillId="0" borderId="0" xfId="0" applyNumberFormat="1" applyFont="1"/>
    <xf numFmtId="0" fontId="6" fillId="0" borderId="0" xfId="0" applyFont="1"/>
    <xf numFmtId="177" fontId="2" fillId="0" borderId="3" xfId="0" applyNumberFormat="1" applyFont="1" applyBorder="1"/>
    <xf numFmtId="180" fontId="2" fillId="0" borderId="0" xfId="0" applyNumberFormat="1" applyFont="1"/>
    <xf numFmtId="1" fontId="2" fillId="0" borderId="3" xfId="0" applyNumberFormat="1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</cellXfs>
  <cellStyles count="1">
    <cellStyle name="標準" xfId="0" builtinId="0"/>
  </cellStyles>
  <dxfs count="2">
    <dxf>
      <font>
        <b/>
        <color rgb="FFC00000"/>
      </font>
    </dxf>
    <dxf>
      <font>
        <b/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H46"/>
  <sheetViews>
    <sheetView showGridLines="0" tabSelected="1" workbookViewId="0"/>
  </sheetViews>
  <sheetFormatPr defaultRowHeight="13.5" x14ac:dyDescent="0.15"/>
  <cols>
    <col min="1" max="1" width="2" customWidth="1"/>
    <col min="2" max="2" width="40" customWidth="1"/>
    <col min="3" max="5" width="14" customWidth="1"/>
    <col min="6" max="7" width="12" customWidth="1"/>
    <col min="8" max="8" width="30" customWidth="1"/>
  </cols>
  <sheetData>
    <row r="1" spans="2:8" ht="21.95" customHeight="1" x14ac:dyDescent="0.15">
      <c r="B1" s="1" t="s">
        <v>0</v>
      </c>
    </row>
    <row r="2" spans="2:8" ht="16.5" x14ac:dyDescent="0.15">
      <c r="B2" s="2" t="s">
        <v>1</v>
      </c>
    </row>
    <row r="4" spans="2:8" ht="20.100000000000001" customHeight="1" x14ac:dyDescent="0.15">
      <c r="B4" s="3" t="s">
        <v>2</v>
      </c>
      <c r="C4" s="4"/>
      <c r="D4" s="4"/>
      <c r="E4" s="4"/>
      <c r="F4" s="4"/>
      <c r="G4" s="4"/>
      <c r="H4" s="4"/>
    </row>
    <row r="5" spans="2:8" ht="71.099999999999994" customHeight="1" x14ac:dyDescent="0.15">
      <c r="B5" s="72" t="s">
        <v>3</v>
      </c>
      <c r="C5" s="73"/>
      <c r="D5" s="73"/>
      <c r="E5" s="73"/>
      <c r="F5" s="73"/>
      <c r="G5" s="73"/>
      <c r="H5" s="5" t="s">
        <v>4</v>
      </c>
    </row>
    <row r="6" spans="2:8" ht="36.950000000000003" customHeight="1" x14ac:dyDescent="0.15">
      <c r="B6" s="72" t="s">
        <v>5</v>
      </c>
      <c r="C6" s="73"/>
      <c r="D6" s="73"/>
      <c r="E6" s="73"/>
      <c r="F6" s="73"/>
      <c r="G6" s="73"/>
      <c r="H6" s="5" t="s">
        <v>4</v>
      </c>
    </row>
    <row r="8" spans="2:8" ht="20.100000000000001" customHeight="1" x14ac:dyDescent="0.15">
      <c r="B8" s="3" t="s">
        <v>6</v>
      </c>
      <c r="C8" s="4"/>
      <c r="D8" s="4"/>
      <c r="E8" s="4"/>
      <c r="F8" s="4"/>
      <c r="G8" s="4"/>
      <c r="H8" s="4"/>
    </row>
    <row r="9" spans="2:8" ht="16.5" x14ac:dyDescent="0.15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spans="2:8" ht="16.5" x14ac:dyDescent="0.15">
      <c r="B10" s="2" t="str">
        <f>中計判定!B5&amp;"（"&amp;中計判定!C5&amp;"）"</f>
        <v>売上収益（億円）</v>
      </c>
      <c r="C10" s="7">
        <f>中計判定!D5</f>
        <v>45060</v>
      </c>
      <c r="D10" s="8">
        <f>中計判定!E5</f>
        <v>36452.355573278284</v>
      </c>
      <c r="E10" s="8">
        <f>中計判定!F5</f>
        <v>36452.355573278284</v>
      </c>
      <c r="F10" s="2" t="str">
        <f>中計判定!I5</f>
        <v>未達</v>
      </c>
      <c r="G10" s="2" t="str">
        <f>中計判定!J5</f>
        <v>未達</v>
      </c>
    </row>
    <row r="11" spans="2:8" ht="16.5" x14ac:dyDescent="0.15">
      <c r="B11" s="2" t="str">
        <f>中計判定!B6&amp;"（"&amp;中計判定!C6&amp;"）"</f>
        <v>コア営業利益（億円）</v>
      </c>
      <c r="C11" s="7">
        <f>中計判定!D6</f>
        <v>4600</v>
      </c>
      <c r="D11" s="8">
        <f>中計判定!E6</f>
        <v>4101.4400801939537</v>
      </c>
      <c r="E11" s="8">
        <f>中計判定!F6</f>
        <v>4234.8575304895694</v>
      </c>
      <c r="F11" s="2" t="str">
        <f>中計判定!I6</f>
        <v>未達</v>
      </c>
      <c r="G11" s="2" t="str">
        <f>中計判定!J6</f>
        <v>未達</v>
      </c>
    </row>
    <row r="12" spans="2:8" ht="16.5" x14ac:dyDescent="0.15">
      <c r="B12" s="2" t="str">
        <f>中計判定!B7&amp;"（"&amp;中計判定!C7&amp;"）"</f>
        <v>EPS（円）</v>
      </c>
      <c r="C12" s="9">
        <f>中計判定!D7</f>
        <v>152</v>
      </c>
      <c r="D12" s="10">
        <f>中計判定!E7</f>
        <v>132.74551992622122</v>
      </c>
      <c r="E12" s="10">
        <f>中計判定!F7</f>
        <v>140.03706545447935</v>
      </c>
      <c r="F12" s="2" t="str">
        <f>中計判定!I7</f>
        <v>未達</v>
      </c>
      <c r="G12" s="2" t="str">
        <f>中計判定!J7</f>
        <v>未達</v>
      </c>
    </row>
    <row r="13" spans="2:8" ht="16.5" x14ac:dyDescent="0.15">
      <c r="B13" s="2" t="str">
        <f>中計判定!B8&amp;"（"&amp;中計判定!C8&amp;"）"</f>
        <v>ROIC（%）</v>
      </c>
      <c r="C13" s="11">
        <f>中計判定!D8</f>
        <v>7.0000000000000007E-2</v>
      </c>
      <c r="D13" s="12">
        <f>中計判定!E8</f>
        <v>6.8031349742393193E-2</v>
      </c>
      <c r="E13" s="12">
        <f>中計判定!F8</f>
        <v>6.7379140698731146E-2</v>
      </c>
      <c r="F13" s="2" t="str">
        <f>中計判定!I8</f>
        <v>未達</v>
      </c>
      <c r="G13" s="2" t="str">
        <f>中計判定!J8</f>
        <v>未達</v>
      </c>
    </row>
    <row r="14" spans="2:8" ht="16.5" x14ac:dyDescent="0.15">
      <c r="B14" s="13" t="str">
        <f>中計判定!B9&amp;"（"&amp;中計判定!C9&amp;"）"</f>
        <v>ネットD/E（以下）（倍）</v>
      </c>
      <c r="C14" s="14">
        <f>中計判定!D9</f>
        <v>0.8</v>
      </c>
      <c r="D14" s="15">
        <f>中計判定!E9</f>
        <v>0.54899901305825838</v>
      </c>
      <c r="E14" s="15">
        <f>中計判定!F9</f>
        <v>0.67249422902187994</v>
      </c>
      <c r="F14" s="13" t="str">
        <f>中計判定!I9</f>
        <v>達成</v>
      </c>
      <c r="G14" s="13" t="str">
        <f>中計判定!J9</f>
        <v>達成</v>
      </c>
    </row>
    <row r="15" spans="2:8" ht="36" customHeight="1" x14ac:dyDescent="0.15">
      <c r="B15" s="72" t="str">
        <f>"・ケースA は5項目中"&amp;中計判定!I10&amp;"項目、ケースB は"&amp;中計判定!J10&amp;"項目を達成。JSR コール："&amp;中計判定!F16&amp;"。BM 合併年度："&amp;中計判定!E17&amp;"年度"</f>
        <v>・ケースA は5項目中1項目、ケースB は1項目を達成。JSR コール：未到達（44.9%で据え置き）。BM 合併年度：2028年度</v>
      </c>
      <c r="C15" s="73"/>
      <c r="D15" s="73"/>
      <c r="E15" s="73"/>
      <c r="F15" s="73"/>
      <c r="G15" s="73"/>
    </row>
    <row r="17" spans="2:8" ht="20.100000000000001" customHeight="1" x14ac:dyDescent="0.15">
      <c r="B17" s="3" t="s">
        <v>13</v>
      </c>
      <c r="C17" s="4"/>
      <c r="D17" s="4"/>
      <c r="E17" s="4"/>
      <c r="F17" s="4"/>
      <c r="G17" s="4"/>
      <c r="H17" s="4"/>
    </row>
    <row r="18" spans="2:8" ht="16.5" x14ac:dyDescent="0.15">
      <c r="B18" s="6" t="s">
        <v>14</v>
      </c>
      <c r="C18" s="6" t="s">
        <v>15</v>
      </c>
      <c r="D18" s="6" t="s">
        <v>16</v>
      </c>
    </row>
    <row r="19" spans="2:8" ht="16.5" x14ac:dyDescent="0.15">
      <c r="B19" s="2" t="s">
        <v>17</v>
      </c>
      <c r="C19" s="16">
        <f>前提!$D$25</f>
        <v>2028</v>
      </c>
      <c r="D19" s="2" t="s">
        <v>18</v>
      </c>
    </row>
    <row r="20" spans="2:8" ht="16.5" x14ac:dyDescent="0.15">
      <c r="B20" s="2" t="s">
        <v>19</v>
      </c>
      <c r="C20" s="16">
        <f>前提!$D$26</f>
        <v>1</v>
      </c>
      <c r="D20" s="2" t="s">
        <v>20</v>
      </c>
    </row>
    <row r="21" spans="2:8" ht="16.5" x14ac:dyDescent="0.15">
      <c r="B21" s="2" t="s">
        <v>21</v>
      </c>
      <c r="C21" s="17">
        <f>前提!$D$107</f>
        <v>6</v>
      </c>
      <c r="D21" s="2" t="s">
        <v>22</v>
      </c>
    </row>
    <row r="22" spans="2:8" ht="16.5" x14ac:dyDescent="0.15">
      <c r="B22" s="2" t="s">
        <v>23</v>
      </c>
      <c r="C22" s="7">
        <f>前提!$D$27</f>
        <v>1000</v>
      </c>
      <c r="D22" s="2" t="s">
        <v>24</v>
      </c>
    </row>
    <row r="23" spans="2:8" ht="16.5" x14ac:dyDescent="0.15">
      <c r="B23" s="2" t="s">
        <v>25</v>
      </c>
      <c r="C23" s="7">
        <f>前提!F10</f>
        <v>2500</v>
      </c>
      <c r="D23" s="2" t="s">
        <v>26</v>
      </c>
    </row>
    <row r="24" spans="2:8" ht="16.5" x14ac:dyDescent="0.15">
      <c r="B24" s="2" t="s">
        <v>27</v>
      </c>
      <c r="C24" s="7">
        <f>前提!$D$28</f>
        <v>70</v>
      </c>
      <c r="D24" s="2" t="s">
        <v>28</v>
      </c>
    </row>
    <row r="25" spans="2:8" ht="16.5" x14ac:dyDescent="0.15">
      <c r="B25" s="2" t="s">
        <v>29</v>
      </c>
      <c r="C25" s="7">
        <f>前提!$D$29</f>
        <v>120</v>
      </c>
      <c r="D25" s="2" t="s">
        <v>28</v>
      </c>
    </row>
    <row r="26" spans="2:8" ht="16.5" x14ac:dyDescent="0.15">
      <c r="B26" s="2" t="s">
        <v>30</v>
      </c>
      <c r="C26" s="11">
        <f>前提!F9</f>
        <v>0.218</v>
      </c>
      <c r="D26" s="2" t="s">
        <v>31</v>
      </c>
    </row>
    <row r="27" spans="2:8" ht="16.5" x14ac:dyDescent="0.15">
      <c r="B27" s="2" t="s">
        <v>32</v>
      </c>
      <c r="C27" s="11">
        <f>前提!H7</f>
        <v>8.7999999999999995E-2</v>
      </c>
      <c r="D27" s="2" t="s">
        <v>31</v>
      </c>
    </row>
    <row r="28" spans="2:8" ht="16.5" x14ac:dyDescent="0.15">
      <c r="B28" s="2" t="s">
        <v>33</v>
      </c>
      <c r="C28" s="7">
        <f>前提!H11</f>
        <v>160</v>
      </c>
      <c r="D28" s="2" t="s">
        <v>28</v>
      </c>
    </row>
    <row r="29" spans="2:8" ht="16.5" x14ac:dyDescent="0.15">
      <c r="B29" s="2" t="s">
        <v>34</v>
      </c>
      <c r="C29" s="7">
        <f>前提!H15</f>
        <v>2370</v>
      </c>
      <c r="D29" s="2" t="s">
        <v>28</v>
      </c>
    </row>
    <row r="30" spans="2:8" ht="16.5" x14ac:dyDescent="0.15">
      <c r="B30" s="2" t="s">
        <v>35</v>
      </c>
      <c r="C30" s="11">
        <f>前提!$D$122</f>
        <v>0.27</v>
      </c>
      <c r="D30" s="2" t="s">
        <v>31</v>
      </c>
    </row>
    <row r="31" spans="2:8" ht="16.5" x14ac:dyDescent="0.15">
      <c r="B31" s="2" t="s">
        <v>36</v>
      </c>
      <c r="C31" s="11">
        <f>前提!$D$121</f>
        <v>0.02</v>
      </c>
      <c r="D31" s="2" t="s">
        <v>31</v>
      </c>
    </row>
    <row r="32" spans="2:8" ht="16.5" x14ac:dyDescent="0.15">
      <c r="B32" s="2" t="s">
        <v>37</v>
      </c>
      <c r="C32" s="7">
        <f>前提!$D$135</f>
        <v>10000</v>
      </c>
      <c r="D32" s="2" t="s">
        <v>28</v>
      </c>
    </row>
    <row r="33" spans="2:8" ht="16.5" x14ac:dyDescent="0.15">
      <c r="B33" s="2" t="s">
        <v>38</v>
      </c>
      <c r="C33" s="16">
        <f>前提!$D$30</f>
        <v>1</v>
      </c>
      <c r="D33" s="2" t="s">
        <v>20</v>
      </c>
    </row>
    <row r="34" spans="2:8" ht="16.5" x14ac:dyDescent="0.15">
      <c r="B34" s="2" t="s">
        <v>39</v>
      </c>
      <c r="C34" s="16">
        <f>前提!$D$32</f>
        <v>1</v>
      </c>
      <c r="D34" s="2" t="s">
        <v>20</v>
      </c>
    </row>
    <row r="35" spans="2:8" ht="16.5" x14ac:dyDescent="0.15">
      <c r="B35" s="2" t="s">
        <v>40</v>
      </c>
      <c r="C35" s="11">
        <f>前提!$D$138</f>
        <v>0.2</v>
      </c>
      <c r="D35" s="2" t="s">
        <v>31</v>
      </c>
    </row>
    <row r="36" spans="2:8" ht="16.5" x14ac:dyDescent="0.15">
      <c r="B36" s="2" t="s">
        <v>41</v>
      </c>
      <c r="C36" s="11">
        <f>前提!$D$139</f>
        <v>0.49</v>
      </c>
      <c r="D36" s="2" t="s">
        <v>31</v>
      </c>
    </row>
    <row r="37" spans="2:8" ht="16.5" x14ac:dyDescent="0.15">
      <c r="B37" s="2" t="s">
        <v>42</v>
      </c>
      <c r="C37" s="18">
        <f>前提!$D$145</f>
        <v>0.8</v>
      </c>
      <c r="D37" s="2" t="s">
        <v>22</v>
      </c>
    </row>
    <row r="38" spans="2:8" ht="16.5" x14ac:dyDescent="0.15">
      <c r="B38" s="13" t="s">
        <v>43</v>
      </c>
      <c r="C38" s="19">
        <f>前提!$D$33</f>
        <v>0</v>
      </c>
      <c r="D38" s="13" t="s">
        <v>20</v>
      </c>
    </row>
    <row r="40" spans="2:8" ht="20.100000000000001" customHeight="1" x14ac:dyDescent="0.15">
      <c r="B40" s="3" t="s">
        <v>44</v>
      </c>
      <c r="C40" s="4"/>
      <c r="D40" s="4"/>
      <c r="E40" s="4"/>
      <c r="F40" s="4"/>
      <c r="G40" s="4"/>
      <c r="H40" s="4"/>
    </row>
    <row r="41" spans="2:8" ht="17.100000000000001" customHeight="1" x14ac:dyDescent="0.15">
      <c r="B41" s="72" t="s">
        <v>45</v>
      </c>
      <c r="C41" s="73"/>
      <c r="D41" s="73"/>
      <c r="E41" s="73"/>
      <c r="F41" s="73"/>
      <c r="G41" s="73"/>
      <c r="H41" s="5" t="s">
        <v>4</v>
      </c>
    </row>
    <row r="42" spans="2:8" ht="36.950000000000003" customHeight="1" x14ac:dyDescent="0.15">
      <c r="B42" s="72" t="s">
        <v>46</v>
      </c>
      <c r="C42" s="73"/>
      <c r="D42" s="73"/>
      <c r="E42" s="73"/>
      <c r="F42" s="73"/>
      <c r="G42" s="73"/>
      <c r="H42" s="5" t="s">
        <v>47</v>
      </c>
    </row>
    <row r="43" spans="2:8" ht="17.100000000000001" customHeight="1" x14ac:dyDescent="0.15">
      <c r="B43" s="72" t="s">
        <v>48</v>
      </c>
      <c r="C43" s="73"/>
      <c r="D43" s="73"/>
      <c r="E43" s="73"/>
      <c r="F43" s="73"/>
      <c r="G43" s="73"/>
      <c r="H43" s="5" t="s">
        <v>47</v>
      </c>
    </row>
    <row r="44" spans="2:8" ht="54" customHeight="1" x14ac:dyDescent="0.15">
      <c r="B44" s="72" t="s">
        <v>49</v>
      </c>
      <c r="C44" s="73"/>
      <c r="D44" s="73"/>
      <c r="E44" s="73"/>
      <c r="F44" s="73"/>
      <c r="G44" s="73"/>
      <c r="H44" s="5" t="s">
        <v>47</v>
      </c>
    </row>
    <row r="46" spans="2:8" ht="17.100000000000001" customHeight="1" x14ac:dyDescent="0.15">
      <c r="B46" s="72" t="s">
        <v>50</v>
      </c>
      <c r="C46" s="73"/>
      <c r="D46" s="73"/>
      <c r="E46" s="73"/>
      <c r="F46" s="73"/>
      <c r="G46" s="73"/>
      <c r="H46" s="5"/>
    </row>
  </sheetData>
  <mergeCells count="8">
    <mergeCell ref="B42:G42"/>
    <mergeCell ref="B46:G46"/>
    <mergeCell ref="B5:G5"/>
    <mergeCell ref="B41:G41"/>
    <mergeCell ref="B43:G43"/>
    <mergeCell ref="B44:G44"/>
    <mergeCell ref="B15:G15"/>
    <mergeCell ref="B6:G6"/>
  </mergeCells>
  <phoneticPr fontId="8"/>
  <printOptions horizontalCentered="1"/>
  <pageMargins left="0.4" right="0.4" top="0.6" bottom="0.6" header="0.25" footer="0.25"/>
  <pageSetup paperSize="9" fitToHeight="0" orientation="portrait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6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52" customWidth="1"/>
    <col min="3" max="3" width="9" customWidth="1"/>
    <col min="4" max="9" width="11" customWidth="1"/>
    <col min="10" max="11" width="22" customWidth="1"/>
    <col min="12" max="12" width="60" customWidth="1"/>
  </cols>
  <sheetData>
    <row r="1" spans="2:12" ht="21.95" customHeight="1" x14ac:dyDescent="0.5">
      <c r="B1" s="20" t="s">
        <v>51</v>
      </c>
    </row>
    <row r="2" spans="2:12" ht="16.5" x14ac:dyDescent="0.35">
      <c r="B2" s="21" t="s">
        <v>52</v>
      </c>
    </row>
    <row r="4" spans="2:12" ht="20.100000000000001" customHeight="1" x14ac:dyDescent="0.35">
      <c r="B4" s="22" t="s">
        <v>53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ht="16.5" x14ac:dyDescent="0.15">
      <c r="B5" s="6" t="s">
        <v>54</v>
      </c>
      <c r="C5" s="6" t="s">
        <v>16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  <c r="I5" s="6" t="s">
        <v>60</v>
      </c>
      <c r="J5" s="6" t="s">
        <v>61</v>
      </c>
      <c r="K5" s="6" t="s">
        <v>62</v>
      </c>
      <c r="L5" s="6" t="s">
        <v>63</v>
      </c>
    </row>
    <row r="6" spans="2:12" ht="16.5" x14ac:dyDescent="0.35">
      <c r="B6" s="21" t="s">
        <v>64</v>
      </c>
      <c r="C6" s="21" t="s">
        <v>18</v>
      </c>
      <c r="D6" s="23">
        <v>2025</v>
      </c>
      <c r="E6" s="23">
        <v>2026</v>
      </c>
      <c r="F6" s="23">
        <v>2027</v>
      </c>
      <c r="G6" s="23">
        <v>2028</v>
      </c>
      <c r="H6" s="23">
        <v>2029</v>
      </c>
      <c r="I6" s="23">
        <v>2030</v>
      </c>
      <c r="K6" s="5" t="s">
        <v>65</v>
      </c>
      <c r="L6" s="5" t="s">
        <v>66</v>
      </c>
    </row>
    <row r="7" spans="2:12" ht="33" x14ac:dyDescent="0.35">
      <c r="B7" s="21" t="s">
        <v>67</v>
      </c>
      <c r="C7" s="21" t="s">
        <v>31</v>
      </c>
      <c r="E7" s="24">
        <v>7.2999999999999995E-2</v>
      </c>
      <c r="F7" s="24">
        <v>7.8E-2</v>
      </c>
      <c r="G7" s="24">
        <v>8.3000000000000004E-2</v>
      </c>
      <c r="H7" s="24">
        <v>8.7999999999999995E-2</v>
      </c>
      <c r="I7" s="24">
        <v>0.09</v>
      </c>
      <c r="J7" s="5" t="s">
        <v>68</v>
      </c>
      <c r="K7" s="5" t="s">
        <v>69</v>
      </c>
      <c r="L7" s="5" t="s">
        <v>70</v>
      </c>
    </row>
    <row r="8" spans="2:12" ht="16.5" x14ac:dyDescent="0.35">
      <c r="B8" s="21" t="s">
        <v>71</v>
      </c>
      <c r="C8" s="21" t="s">
        <v>31</v>
      </c>
      <c r="F8" s="24">
        <v>0.06</v>
      </c>
      <c r="G8" s="24">
        <v>0.06</v>
      </c>
      <c r="H8" s="24">
        <v>0.05</v>
      </c>
      <c r="I8" s="24">
        <v>0.05</v>
      </c>
      <c r="J8" s="5" t="s">
        <v>72</v>
      </c>
      <c r="K8" s="5" t="s">
        <v>73</v>
      </c>
      <c r="L8" s="5" t="s">
        <v>74</v>
      </c>
    </row>
    <row r="9" spans="2:12" ht="33" x14ac:dyDescent="0.35">
      <c r="B9" s="21" t="s">
        <v>75</v>
      </c>
      <c r="C9" s="21" t="s">
        <v>31</v>
      </c>
      <c r="F9" s="24">
        <v>0.218</v>
      </c>
      <c r="G9" s="24">
        <v>0.14099999999999999</v>
      </c>
      <c r="H9" s="24">
        <v>0.05</v>
      </c>
      <c r="I9" s="24">
        <v>0.03</v>
      </c>
      <c r="J9" s="5" t="s">
        <v>76</v>
      </c>
      <c r="K9" s="5" t="s">
        <v>77</v>
      </c>
      <c r="L9" s="5" t="s">
        <v>78</v>
      </c>
    </row>
    <row r="10" spans="2:12" ht="36.950000000000003" customHeight="1" x14ac:dyDescent="0.35">
      <c r="B10" s="21" t="s">
        <v>79</v>
      </c>
      <c r="C10" s="21" t="s">
        <v>26</v>
      </c>
      <c r="E10" s="25">
        <v>1500</v>
      </c>
      <c r="F10" s="25">
        <v>2500</v>
      </c>
      <c r="G10" s="25">
        <v>2500</v>
      </c>
      <c r="H10" s="25">
        <v>2500</v>
      </c>
      <c r="I10" s="25">
        <v>2500</v>
      </c>
      <c r="J10" s="5" t="s">
        <v>80</v>
      </c>
      <c r="K10" s="5" t="s">
        <v>81</v>
      </c>
      <c r="L10" s="5" t="s">
        <v>82</v>
      </c>
    </row>
    <row r="11" spans="2:12" ht="36.950000000000003" customHeight="1" x14ac:dyDescent="0.35">
      <c r="B11" s="21" t="s">
        <v>83</v>
      </c>
      <c r="C11" s="21" t="s">
        <v>28</v>
      </c>
      <c r="E11" s="25">
        <v>110</v>
      </c>
      <c r="F11" s="25">
        <v>120</v>
      </c>
      <c r="G11" s="25">
        <v>140</v>
      </c>
      <c r="H11" s="25">
        <v>160</v>
      </c>
      <c r="I11" s="25">
        <v>170</v>
      </c>
      <c r="J11" s="5" t="s">
        <v>84</v>
      </c>
      <c r="K11" s="5" t="s">
        <v>85</v>
      </c>
      <c r="L11" s="5" t="s">
        <v>86</v>
      </c>
    </row>
    <row r="12" spans="2:12" ht="16.5" x14ac:dyDescent="0.35">
      <c r="B12" s="21" t="s">
        <v>87</v>
      </c>
      <c r="C12" s="21" t="s">
        <v>28</v>
      </c>
      <c r="E12" s="25">
        <v>-50</v>
      </c>
      <c r="F12" s="25">
        <v>-150</v>
      </c>
      <c r="G12" s="25">
        <v>-110</v>
      </c>
      <c r="H12" s="25">
        <v>-90</v>
      </c>
      <c r="I12" s="25">
        <v>-80</v>
      </c>
      <c r="J12" s="5" t="s">
        <v>88</v>
      </c>
      <c r="K12" s="5" t="s">
        <v>85</v>
      </c>
      <c r="L12" s="5" t="s">
        <v>89</v>
      </c>
    </row>
    <row r="13" spans="2:12" ht="16.5" x14ac:dyDescent="0.35">
      <c r="B13" s="21" t="s">
        <v>90</v>
      </c>
      <c r="C13" s="21" t="s">
        <v>28</v>
      </c>
      <c r="F13" s="25">
        <v>-500</v>
      </c>
      <c r="G13" s="25">
        <v>-500</v>
      </c>
      <c r="J13" s="5" t="s">
        <v>91</v>
      </c>
      <c r="K13" s="5" t="s">
        <v>69</v>
      </c>
      <c r="L13" s="5" t="s">
        <v>92</v>
      </c>
    </row>
    <row r="14" spans="2:12" ht="16.5" x14ac:dyDescent="0.35">
      <c r="B14" s="21" t="s">
        <v>93</v>
      </c>
      <c r="C14" s="21" t="s">
        <v>31</v>
      </c>
      <c r="H14" s="24">
        <v>-0.02</v>
      </c>
      <c r="I14" s="24">
        <v>-0.02</v>
      </c>
      <c r="J14" s="5" t="s">
        <v>4</v>
      </c>
      <c r="K14" s="5" t="s">
        <v>69</v>
      </c>
      <c r="L14" s="5"/>
    </row>
    <row r="15" spans="2:12" ht="16.5" x14ac:dyDescent="0.35">
      <c r="B15" s="21" t="s">
        <v>94</v>
      </c>
      <c r="C15" s="21" t="s">
        <v>28</v>
      </c>
      <c r="E15" s="25">
        <v>2050</v>
      </c>
      <c r="F15" s="25">
        <v>2150</v>
      </c>
      <c r="G15" s="25">
        <v>2260</v>
      </c>
      <c r="H15" s="25">
        <v>2370</v>
      </c>
      <c r="I15" s="25">
        <v>2480</v>
      </c>
      <c r="J15" s="5" t="s">
        <v>95</v>
      </c>
      <c r="K15" s="5" t="s">
        <v>85</v>
      </c>
      <c r="L15" s="5" t="s">
        <v>96</v>
      </c>
    </row>
    <row r="16" spans="2:12" ht="16.5" x14ac:dyDescent="0.35">
      <c r="B16" s="21" t="s">
        <v>97</v>
      </c>
      <c r="C16" s="21" t="s">
        <v>28</v>
      </c>
      <c r="E16" s="25">
        <v>40</v>
      </c>
      <c r="F16" s="25">
        <v>0</v>
      </c>
      <c r="G16" s="25">
        <v>0</v>
      </c>
      <c r="H16" s="25">
        <v>0</v>
      </c>
      <c r="I16" s="25">
        <v>0</v>
      </c>
      <c r="J16" s="5" t="s">
        <v>98</v>
      </c>
      <c r="K16" s="5" t="s">
        <v>85</v>
      </c>
      <c r="L16" s="5"/>
    </row>
    <row r="17" spans="2:12" ht="33" x14ac:dyDescent="0.35">
      <c r="B17" s="21" t="s">
        <v>99</v>
      </c>
      <c r="C17" s="21" t="s">
        <v>28</v>
      </c>
      <c r="E17" s="25">
        <v>-50</v>
      </c>
      <c r="F17" s="25">
        <v>-350</v>
      </c>
      <c r="G17" s="25">
        <v>-400</v>
      </c>
      <c r="H17" s="25">
        <v>-300</v>
      </c>
      <c r="I17" s="25">
        <v>-300</v>
      </c>
      <c r="J17" s="5" t="s">
        <v>98</v>
      </c>
      <c r="K17" s="5" t="s">
        <v>85</v>
      </c>
      <c r="L17" s="5" t="s">
        <v>100</v>
      </c>
    </row>
    <row r="18" spans="2:12" ht="16.5" x14ac:dyDescent="0.35">
      <c r="B18" s="21" t="s">
        <v>101</v>
      </c>
      <c r="C18" s="21" t="s">
        <v>28</v>
      </c>
      <c r="E18" s="25">
        <v>3391</v>
      </c>
      <c r="F18" s="25">
        <v>3300</v>
      </c>
      <c r="G18" s="25">
        <v>3200</v>
      </c>
      <c r="H18" s="25">
        <v>3000</v>
      </c>
      <c r="I18" s="25">
        <v>3000</v>
      </c>
      <c r="J18" s="5" t="s">
        <v>98</v>
      </c>
      <c r="K18" s="5" t="s">
        <v>85</v>
      </c>
      <c r="L18" s="5" t="s">
        <v>102</v>
      </c>
    </row>
    <row r="19" spans="2:12" ht="33" x14ac:dyDescent="0.35">
      <c r="B19" s="21" t="s">
        <v>103</v>
      </c>
      <c r="C19" s="21" t="s">
        <v>28</v>
      </c>
      <c r="E19" s="25">
        <v>2794</v>
      </c>
      <c r="F19" s="25">
        <v>2850</v>
      </c>
      <c r="G19" s="25">
        <v>2600</v>
      </c>
      <c r="H19" s="25">
        <v>2650</v>
      </c>
      <c r="I19" s="25">
        <v>2700</v>
      </c>
      <c r="J19" s="5" t="s">
        <v>104</v>
      </c>
      <c r="K19" s="5" t="s">
        <v>85</v>
      </c>
      <c r="L19" s="5" t="s">
        <v>105</v>
      </c>
    </row>
    <row r="20" spans="2:12" ht="16.5" x14ac:dyDescent="0.35">
      <c r="B20" s="26" t="s">
        <v>106</v>
      </c>
      <c r="C20" s="26" t="s">
        <v>28</v>
      </c>
      <c r="D20" s="27"/>
      <c r="E20" s="28">
        <v>600</v>
      </c>
      <c r="F20" s="28">
        <v>680</v>
      </c>
      <c r="G20" s="28">
        <v>760</v>
      </c>
      <c r="H20" s="28">
        <v>840</v>
      </c>
      <c r="I20" s="28">
        <v>920</v>
      </c>
      <c r="J20" s="29" t="s">
        <v>107</v>
      </c>
      <c r="K20" s="29" t="s">
        <v>69</v>
      </c>
      <c r="L20" s="29" t="s">
        <v>108</v>
      </c>
    </row>
    <row r="21" spans="2:12" ht="36.950000000000003" customHeight="1" x14ac:dyDescent="0.15">
      <c r="B21" s="72" t="s">
        <v>109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3" spans="2:12" ht="20.100000000000001" customHeight="1" x14ac:dyDescent="0.35">
      <c r="B23" s="22" t="s">
        <v>110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6.5" x14ac:dyDescent="0.15">
      <c r="B24" s="6" t="s">
        <v>54</v>
      </c>
      <c r="C24" s="6" t="s">
        <v>16</v>
      </c>
      <c r="D24" s="6" t="s">
        <v>15</v>
      </c>
      <c r="E24" s="30"/>
      <c r="F24" s="30"/>
      <c r="G24" s="30"/>
      <c r="H24" s="30"/>
      <c r="I24" s="30"/>
      <c r="J24" s="6" t="s">
        <v>61</v>
      </c>
      <c r="K24" s="6" t="s">
        <v>62</v>
      </c>
      <c r="L24" s="6" t="s">
        <v>63</v>
      </c>
    </row>
    <row r="25" spans="2:12" ht="16.5" x14ac:dyDescent="0.35">
      <c r="B25" s="5" t="s">
        <v>111</v>
      </c>
      <c r="C25" s="21" t="s">
        <v>18</v>
      </c>
      <c r="D25" s="23">
        <v>2028</v>
      </c>
      <c r="J25" s="5" t="s">
        <v>4</v>
      </c>
      <c r="K25" s="5" t="s">
        <v>112</v>
      </c>
      <c r="L25" s="5" t="s">
        <v>113</v>
      </c>
    </row>
    <row r="26" spans="2:12" ht="16.5" x14ac:dyDescent="0.35">
      <c r="B26" s="5" t="s">
        <v>114</v>
      </c>
      <c r="C26" s="21" t="s">
        <v>20</v>
      </c>
      <c r="D26" s="23">
        <v>1</v>
      </c>
      <c r="J26" s="5" t="s">
        <v>4</v>
      </c>
      <c r="K26" s="5" t="s">
        <v>112</v>
      </c>
      <c r="L26" s="5" t="s">
        <v>115</v>
      </c>
    </row>
    <row r="27" spans="2:12" ht="16.5" x14ac:dyDescent="0.35">
      <c r="B27" s="5" t="s">
        <v>23</v>
      </c>
      <c r="C27" s="21" t="s">
        <v>24</v>
      </c>
      <c r="D27" s="25">
        <v>1000</v>
      </c>
      <c r="J27" s="5" t="s">
        <v>116</v>
      </c>
      <c r="K27" s="5" t="s">
        <v>117</v>
      </c>
      <c r="L27" s="5" t="s">
        <v>118</v>
      </c>
    </row>
    <row r="28" spans="2:12" ht="16.5" x14ac:dyDescent="0.35">
      <c r="B28" s="5" t="s">
        <v>27</v>
      </c>
      <c r="C28" s="21" t="s">
        <v>28</v>
      </c>
      <c r="D28" s="25">
        <v>70</v>
      </c>
      <c r="J28" s="5" t="s">
        <v>119</v>
      </c>
      <c r="K28" s="5" t="s">
        <v>120</v>
      </c>
      <c r="L28" s="5" t="s">
        <v>121</v>
      </c>
    </row>
    <row r="29" spans="2:12" ht="16.5" x14ac:dyDescent="0.35">
      <c r="B29" s="5" t="s">
        <v>29</v>
      </c>
      <c r="C29" s="21" t="s">
        <v>28</v>
      </c>
      <c r="D29" s="25">
        <v>120</v>
      </c>
      <c r="J29" s="5" t="s">
        <v>119</v>
      </c>
      <c r="K29" s="5" t="s">
        <v>120</v>
      </c>
      <c r="L29" s="5" t="s">
        <v>122</v>
      </c>
    </row>
    <row r="30" spans="2:12" ht="16.5" x14ac:dyDescent="0.35">
      <c r="B30" s="5" t="s">
        <v>123</v>
      </c>
      <c r="C30" s="21" t="s">
        <v>20</v>
      </c>
      <c r="D30" s="23">
        <v>1</v>
      </c>
      <c r="J30" s="5" t="s">
        <v>124</v>
      </c>
      <c r="K30" s="5" t="s">
        <v>112</v>
      </c>
      <c r="L30" s="5" t="s">
        <v>125</v>
      </c>
    </row>
    <row r="31" spans="2:12" ht="16.5" x14ac:dyDescent="0.35">
      <c r="B31" s="5" t="s">
        <v>126</v>
      </c>
      <c r="C31" s="21" t="s">
        <v>18</v>
      </c>
      <c r="D31" s="23">
        <v>0</v>
      </c>
      <c r="J31" s="5" t="s">
        <v>47</v>
      </c>
      <c r="K31" s="5" t="s">
        <v>127</v>
      </c>
      <c r="L31" s="5" t="s">
        <v>128</v>
      </c>
    </row>
    <row r="32" spans="2:12" ht="33" x14ac:dyDescent="0.35">
      <c r="B32" s="5" t="s">
        <v>129</v>
      </c>
      <c r="C32" s="21" t="s">
        <v>20</v>
      </c>
      <c r="D32" s="23">
        <v>1</v>
      </c>
      <c r="J32" s="5" t="s">
        <v>47</v>
      </c>
      <c r="K32" s="5" t="s">
        <v>112</v>
      </c>
      <c r="L32" s="5" t="s">
        <v>130</v>
      </c>
    </row>
    <row r="33" spans="2:12" ht="33" x14ac:dyDescent="0.35">
      <c r="B33" s="29" t="s">
        <v>131</v>
      </c>
      <c r="C33" s="26" t="s">
        <v>20</v>
      </c>
      <c r="D33" s="31">
        <v>0</v>
      </c>
      <c r="E33" s="27"/>
      <c r="F33" s="27"/>
      <c r="G33" s="27"/>
      <c r="H33" s="27"/>
      <c r="I33" s="27"/>
      <c r="J33" s="29" t="s">
        <v>47</v>
      </c>
      <c r="K33" s="29" t="s">
        <v>132</v>
      </c>
      <c r="L33" s="29" t="s">
        <v>133</v>
      </c>
    </row>
    <row r="34" spans="2:12" ht="20.100000000000001" customHeight="1" x14ac:dyDescent="0.35">
      <c r="B34" s="22" t="s">
        <v>134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ht="16.5" x14ac:dyDescent="0.15">
      <c r="B35" s="6" t="s">
        <v>54</v>
      </c>
      <c r="C35" s="6" t="s">
        <v>16</v>
      </c>
      <c r="D35" s="6" t="s">
        <v>15</v>
      </c>
      <c r="E35" s="30"/>
      <c r="F35" s="30"/>
      <c r="G35" s="30"/>
      <c r="H35" s="30"/>
      <c r="I35" s="30"/>
      <c r="J35" s="6" t="s">
        <v>61</v>
      </c>
      <c r="K35" s="6" t="s">
        <v>62</v>
      </c>
      <c r="L35" s="6" t="s">
        <v>63</v>
      </c>
    </row>
    <row r="36" spans="2:12" ht="16.5" x14ac:dyDescent="0.35">
      <c r="B36" s="5" t="s">
        <v>135</v>
      </c>
      <c r="C36" s="21" t="s">
        <v>28</v>
      </c>
      <c r="D36" s="25">
        <v>12370</v>
      </c>
      <c r="J36" s="5" t="s">
        <v>136</v>
      </c>
      <c r="K36" s="5" t="s">
        <v>137</v>
      </c>
      <c r="L36" s="5"/>
    </row>
    <row r="37" spans="2:12" ht="16.5" x14ac:dyDescent="0.35">
      <c r="B37" s="5" t="s">
        <v>138</v>
      </c>
      <c r="C37" s="21" t="s">
        <v>28</v>
      </c>
      <c r="D37" s="25">
        <v>900</v>
      </c>
      <c r="J37" s="5" t="s">
        <v>136</v>
      </c>
      <c r="K37" s="5" t="s">
        <v>137</v>
      </c>
      <c r="L37" s="5"/>
    </row>
    <row r="38" spans="2:12" ht="16.5" x14ac:dyDescent="0.35">
      <c r="B38" s="5" t="s">
        <v>139</v>
      </c>
      <c r="C38" s="21" t="s">
        <v>28</v>
      </c>
      <c r="D38" s="25">
        <v>3490</v>
      </c>
      <c r="J38" s="5" t="s">
        <v>136</v>
      </c>
      <c r="K38" s="5" t="s">
        <v>137</v>
      </c>
      <c r="L38" s="5"/>
    </row>
    <row r="39" spans="2:12" ht="16.5" x14ac:dyDescent="0.35">
      <c r="B39" s="5" t="s">
        <v>140</v>
      </c>
      <c r="C39" s="21" t="s">
        <v>28</v>
      </c>
      <c r="D39" s="25">
        <v>6830</v>
      </c>
      <c r="J39" s="5" t="s">
        <v>136</v>
      </c>
      <c r="K39" s="5" t="s">
        <v>137</v>
      </c>
      <c r="L39" s="5"/>
    </row>
    <row r="40" spans="2:12" ht="16.5" x14ac:dyDescent="0.35">
      <c r="B40" s="5" t="s">
        <v>141</v>
      </c>
      <c r="C40" s="21" t="s">
        <v>28</v>
      </c>
      <c r="D40" s="25">
        <v>1590</v>
      </c>
      <c r="J40" s="5" t="s">
        <v>136</v>
      </c>
      <c r="K40" s="5" t="s">
        <v>137</v>
      </c>
      <c r="L40" s="5"/>
    </row>
    <row r="41" spans="2:12" ht="16.5" x14ac:dyDescent="0.35">
      <c r="B41" s="5" t="s">
        <v>142</v>
      </c>
      <c r="C41" s="21" t="s">
        <v>28</v>
      </c>
      <c r="D41" s="25">
        <v>13720</v>
      </c>
      <c r="J41" s="5" t="s">
        <v>136</v>
      </c>
      <c r="K41" s="5" t="s">
        <v>137</v>
      </c>
      <c r="L41" s="5"/>
    </row>
    <row r="42" spans="2:12" ht="16.5" x14ac:dyDescent="0.35">
      <c r="B42" s="5" t="s">
        <v>143</v>
      </c>
      <c r="C42" s="21" t="s">
        <v>28</v>
      </c>
      <c r="D42" s="25">
        <v>38000</v>
      </c>
      <c r="J42" s="5" t="s">
        <v>136</v>
      </c>
      <c r="K42" s="5" t="s">
        <v>137</v>
      </c>
      <c r="L42" s="5" t="s">
        <v>144</v>
      </c>
    </row>
    <row r="43" spans="2:12" ht="16.5" x14ac:dyDescent="0.35">
      <c r="B43" s="5" t="s">
        <v>145</v>
      </c>
      <c r="C43" s="21" t="s">
        <v>28</v>
      </c>
      <c r="D43" s="25">
        <v>3050</v>
      </c>
      <c r="J43" s="5" t="s">
        <v>136</v>
      </c>
      <c r="K43" s="5" t="s">
        <v>137</v>
      </c>
      <c r="L43" s="5" t="s">
        <v>144</v>
      </c>
    </row>
    <row r="44" spans="2:12" ht="16.5" x14ac:dyDescent="0.35">
      <c r="B44" s="5" t="s">
        <v>146</v>
      </c>
      <c r="C44" s="21" t="s">
        <v>147</v>
      </c>
      <c r="D44" s="32">
        <v>93.5</v>
      </c>
      <c r="J44" s="5" t="s">
        <v>136</v>
      </c>
      <c r="K44" s="5" t="s">
        <v>137</v>
      </c>
      <c r="L44" s="5" t="s">
        <v>148</v>
      </c>
    </row>
    <row r="45" spans="2:12" ht="16.5" x14ac:dyDescent="0.35">
      <c r="B45" s="29" t="s">
        <v>149</v>
      </c>
      <c r="C45" s="26" t="s">
        <v>28</v>
      </c>
      <c r="D45" s="28">
        <v>1270</v>
      </c>
      <c r="E45" s="27"/>
      <c r="F45" s="27"/>
      <c r="G45" s="27"/>
      <c r="H45" s="27"/>
      <c r="I45" s="27"/>
      <c r="J45" s="29" t="s">
        <v>136</v>
      </c>
      <c r="K45" s="29" t="s">
        <v>137</v>
      </c>
      <c r="L45" s="29" t="s">
        <v>150</v>
      </c>
    </row>
    <row r="46" spans="2:12" ht="20.100000000000001" customHeight="1" x14ac:dyDescent="0.35">
      <c r="B46" s="22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2:12" ht="16.5" x14ac:dyDescent="0.15">
      <c r="B47" s="6" t="s">
        <v>54</v>
      </c>
      <c r="C47" s="6" t="s">
        <v>16</v>
      </c>
      <c r="D47" s="6" t="s">
        <v>15</v>
      </c>
      <c r="E47" s="30"/>
      <c r="F47" s="30"/>
      <c r="G47" s="30"/>
      <c r="H47" s="30"/>
      <c r="I47" s="30"/>
      <c r="J47" s="6" t="s">
        <v>61</v>
      </c>
      <c r="K47" s="6" t="s">
        <v>62</v>
      </c>
      <c r="L47" s="6" t="s">
        <v>63</v>
      </c>
    </row>
    <row r="48" spans="2:12" ht="16.5" x14ac:dyDescent="0.35">
      <c r="B48" s="5" t="s">
        <v>152</v>
      </c>
      <c r="C48" s="21" t="s">
        <v>153</v>
      </c>
      <c r="D48" s="24">
        <v>0.04</v>
      </c>
      <c r="J48" s="5" t="s">
        <v>4</v>
      </c>
      <c r="K48" s="5" t="s">
        <v>69</v>
      </c>
      <c r="L48" s="5"/>
    </row>
    <row r="49" spans="2:12" ht="16.5" x14ac:dyDescent="0.35">
      <c r="B49" s="5" t="s">
        <v>154</v>
      </c>
      <c r="C49" s="21" t="s">
        <v>28</v>
      </c>
      <c r="D49" s="25">
        <v>15700</v>
      </c>
      <c r="J49" s="5" t="s">
        <v>155</v>
      </c>
      <c r="K49" s="5" t="s">
        <v>137</v>
      </c>
      <c r="L49" s="5" t="s">
        <v>156</v>
      </c>
    </row>
    <row r="50" spans="2:12" ht="16.5" x14ac:dyDescent="0.35">
      <c r="B50" s="5" t="s">
        <v>157</v>
      </c>
      <c r="C50" s="21" t="s">
        <v>28</v>
      </c>
      <c r="D50" s="25">
        <v>1550</v>
      </c>
      <c r="J50" s="5" t="s">
        <v>158</v>
      </c>
      <c r="K50" s="5" t="s">
        <v>137</v>
      </c>
      <c r="L50" s="5" t="s">
        <v>159</v>
      </c>
    </row>
    <row r="51" spans="2:12" ht="16.5" x14ac:dyDescent="0.35">
      <c r="B51" s="5" t="s">
        <v>160</v>
      </c>
      <c r="C51" s="21" t="s">
        <v>18</v>
      </c>
      <c r="D51" s="23">
        <v>2029</v>
      </c>
      <c r="J51" s="5" t="s">
        <v>161</v>
      </c>
      <c r="K51" s="5" t="s">
        <v>137</v>
      </c>
      <c r="L51" s="5" t="s">
        <v>162</v>
      </c>
    </row>
    <row r="52" spans="2:12" ht="16.5" x14ac:dyDescent="0.35">
      <c r="B52" s="5" t="s">
        <v>163</v>
      </c>
      <c r="C52" s="21" t="s">
        <v>153</v>
      </c>
      <c r="D52" s="24">
        <v>0.04</v>
      </c>
      <c r="J52" s="5" t="s">
        <v>47</v>
      </c>
      <c r="K52" s="5" t="s">
        <v>164</v>
      </c>
      <c r="L52" s="5"/>
    </row>
    <row r="53" spans="2:12" ht="16.5" x14ac:dyDescent="0.35">
      <c r="B53" s="5" t="s">
        <v>165</v>
      </c>
      <c r="C53" s="21" t="s">
        <v>31</v>
      </c>
      <c r="D53" s="24">
        <v>0.1</v>
      </c>
      <c r="J53" s="5" t="s">
        <v>47</v>
      </c>
      <c r="K53" s="5" t="s">
        <v>164</v>
      </c>
      <c r="L53" s="5"/>
    </row>
    <row r="54" spans="2:12" ht="16.5" x14ac:dyDescent="0.35">
      <c r="B54" s="5" t="s">
        <v>166</v>
      </c>
      <c r="C54" s="21" t="s">
        <v>153</v>
      </c>
      <c r="D54" s="24">
        <v>0.01</v>
      </c>
      <c r="J54" s="5" t="s">
        <v>4</v>
      </c>
      <c r="K54" s="5" t="s">
        <v>69</v>
      </c>
      <c r="L54" s="5"/>
    </row>
    <row r="55" spans="2:12" ht="16.5" x14ac:dyDescent="0.35">
      <c r="B55" s="5" t="s">
        <v>167</v>
      </c>
      <c r="C55" s="21" t="s">
        <v>153</v>
      </c>
      <c r="D55" s="24">
        <v>0</v>
      </c>
      <c r="J55" s="5" t="s">
        <v>4</v>
      </c>
      <c r="K55" s="5" t="s">
        <v>168</v>
      </c>
      <c r="L55" s="5" t="s">
        <v>169</v>
      </c>
    </row>
    <row r="56" spans="2:12" ht="16.5" x14ac:dyDescent="0.35">
      <c r="B56" s="29" t="s">
        <v>170</v>
      </c>
      <c r="C56" s="26" t="s">
        <v>153</v>
      </c>
      <c r="D56" s="33">
        <v>0.04</v>
      </c>
      <c r="E56" s="27"/>
      <c r="F56" s="27"/>
      <c r="G56" s="27"/>
      <c r="H56" s="27"/>
      <c r="I56" s="27"/>
      <c r="J56" s="29" t="s">
        <v>4</v>
      </c>
      <c r="K56" s="29" t="s">
        <v>69</v>
      </c>
      <c r="L56" s="29"/>
    </row>
    <row r="57" spans="2:12" ht="20.100000000000001" customHeight="1" x14ac:dyDescent="0.35">
      <c r="B57" s="22" t="s">
        <v>171</v>
      </c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2:12" ht="16.5" x14ac:dyDescent="0.15">
      <c r="B58" s="6" t="s">
        <v>54</v>
      </c>
      <c r="C58" s="6" t="s">
        <v>16</v>
      </c>
      <c r="D58" s="6" t="s">
        <v>15</v>
      </c>
      <c r="E58" s="30"/>
      <c r="F58" s="30"/>
      <c r="G58" s="30"/>
      <c r="H58" s="30"/>
      <c r="I58" s="30"/>
      <c r="J58" s="6" t="s">
        <v>61</v>
      </c>
      <c r="K58" s="6" t="s">
        <v>62</v>
      </c>
      <c r="L58" s="6" t="s">
        <v>63</v>
      </c>
    </row>
    <row r="59" spans="2:12" ht="16.5" x14ac:dyDescent="0.35">
      <c r="B59" s="5" t="s">
        <v>172</v>
      </c>
      <c r="C59" s="21" t="s">
        <v>31</v>
      </c>
      <c r="D59" s="24">
        <v>0.2</v>
      </c>
      <c r="J59" s="5" t="s">
        <v>4</v>
      </c>
      <c r="K59" s="5" t="s">
        <v>120</v>
      </c>
      <c r="L59" s="5"/>
    </row>
    <row r="60" spans="2:12" ht="16.5" x14ac:dyDescent="0.35">
      <c r="B60" s="5" t="s">
        <v>173</v>
      </c>
      <c r="C60" s="21" t="s">
        <v>153</v>
      </c>
      <c r="D60" s="24">
        <v>7.6999999999999999E-2</v>
      </c>
      <c r="J60" s="5" t="s">
        <v>174</v>
      </c>
      <c r="K60" s="5" t="s">
        <v>175</v>
      </c>
      <c r="L60" s="5" t="s">
        <v>176</v>
      </c>
    </row>
    <row r="61" spans="2:12" ht="16.5" x14ac:dyDescent="0.35">
      <c r="B61" s="5" t="s">
        <v>177</v>
      </c>
      <c r="C61" s="21" t="s">
        <v>22</v>
      </c>
      <c r="D61" s="34">
        <v>0.25</v>
      </c>
      <c r="J61" s="5" t="s">
        <v>4</v>
      </c>
      <c r="K61" s="5" t="s">
        <v>120</v>
      </c>
      <c r="L61" s="5"/>
    </row>
    <row r="62" spans="2:12" ht="16.5" x14ac:dyDescent="0.35">
      <c r="B62" s="5" t="s">
        <v>178</v>
      </c>
      <c r="C62" s="21" t="s">
        <v>179</v>
      </c>
      <c r="D62" s="34">
        <v>1</v>
      </c>
      <c r="J62" s="5" t="s">
        <v>180</v>
      </c>
      <c r="K62" s="5" t="s">
        <v>137</v>
      </c>
      <c r="L62" s="5" t="s">
        <v>181</v>
      </c>
    </row>
    <row r="63" spans="2:12" ht="16.5" x14ac:dyDescent="0.35">
      <c r="B63" s="5" t="s">
        <v>182</v>
      </c>
      <c r="C63" s="21" t="s">
        <v>179</v>
      </c>
      <c r="D63" s="34">
        <v>0.05</v>
      </c>
      <c r="J63" s="5" t="s">
        <v>4</v>
      </c>
      <c r="K63" s="5" t="s">
        <v>120</v>
      </c>
      <c r="L63" s="5"/>
    </row>
    <row r="64" spans="2:12" ht="16.5" x14ac:dyDescent="0.35">
      <c r="B64" s="5" t="s">
        <v>183</v>
      </c>
      <c r="C64" s="21" t="s">
        <v>18</v>
      </c>
      <c r="D64" s="23">
        <v>2027</v>
      </c>
      <c r="J64" s="5" t="s">
        <v>4</v>
      </c>
      <c r="K64" s="5" t="s">
        <v>120</v>
      </c>
      <c r="L64" s="5"/>
    </row>
    <row r="65" spans="2:12" ht="16.5" x14ac:dyDescent="0.35">
      <c r="B65" s="5" t="s">
        <v>184</v>
      </c>
      <c r="C65" s="21" t="s">
        <v>179</v>
      </c>
      <c r="D65" s="34">
        <v>0.35</v>
      </c>
      <c r="J65" s="5" t="s">
        <v>174</v>
      </c>
      <c r="K65" s="5" t="s">
        <v>137</v>
      </c>
      <c r="L65" s="5"/>
    </row>
    <row r="66" spans="2:12" ht="16.5" x14ac:dyDescent="0.35">
      <c r="B66" s="5" t="s">
        <v>185</v>
      </c>
      <c r="C66" s="21" t="s">
        <v>18</v>
      </c>
      <c r="D66" s="23">
        <v>2028</v>
      </c>
      <c r="J66" s="5" t="s">
        <v>174</v>
      </c>
      <c r="K66" s="5" t="s">
        <v>137</v>
      </c>
      <c r="L66" s="5"/>
    </row>
    <row r="67" spans="2:12" ht="16.5" x14ac:dyDescent="0.35">
      <c r="B67" s="5" t="s">
        <v>186</v>
      </c>
      <c r="C67" s="21" t="s">
        <v>22</v>
      </c>
      <c r="D67" s="34">
        <v>0.5</v>
      </c>
      <c r="J67" s="5" t="s">
        <v>4</v>
      </c>
      <c r="K67" s="5" t="s">
        <v>120</v>
      </c>
      <c r="L67" s="5" t="s">
        <v>187</v>
      </c>
    </row>
    <row r="68" spans="2:12" ht="16.5" x14ac:dyDescent="0.35">
      <c r="B68" s="5" t="s">
        <v>188</v>
      </c>
      <c r="C68" s="21" t="s">
        <v>153</v>
      </c>
      <c r="D68" s="24">
        <v>0.04</v>
      </c>
      <c r="J68" s="5" t="s">
        <v>4</v>
      </c>
      <c r="K68" s="5" t="s">
        <v>120</v>
      </c>
      <c r="L68" s="5" t="s">
        <v>189</v>
      </c>
    </row>
    <row r="69" spans="2:12" ht="16.5" x14ac:dyDescent="0.35">
      <c r="B69" s="29" t="s">
        <v>190</v>
      </c>
      <c r="C69" s="26" t="s">
        <v>31</v>
      </c>
      <c r="D69" s="33">
        <v>0.45</v>
      </c>
      <c r="E69" s="27"/>
      <c r="F69" s="27"/>
      <c r="G69" s="27"/>
      <c r="H69" s="27"/>
      <c r="I69" s="27"/>
      <c r="J69" s="29" t="s">
        <v>4</v>
      </c>
      <c r="K69" s="29" t="s">
        <v>120</v>
      </c>
      <c r="L69" s="29" t="s">
        <v>191</v>
      </c>
    </row>
    <row r="70" spans="2:12" ht="20.100000000000001" customHeight="1" x14ac:dyDescent="0.35">
      <c r="B70" s="22" t="s">
        <v>192</v>
      </c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 ht="16.5" x14ac:dyDescent="0.15">
      <c r="B71" s="6" t="s">
        <v>54</v>
      </c>
      <c r="C71" s="6" t="s">
        <v>16</v>
      </c>
      <c r="D71" s="6" t="s">
        <v>15</v>
      </c>
      <c r="E71" s="30"/>
      <c r="F71" s="30"/>
      <c r="G71" s="30"/>
      <c r="H71" s="30"/>
      <c r="I71" s="30"/>
      <c r="J71" s="6" t="s">
        <v>61</v>
      </c>
      <c r="K71" s="6" t="s">
        <v>62</v>
      </c>
      <c r="L71" s="6" t="s">
        <v>63</v>
      </c>
    </row>
    <row r="72" spans="2:12" ht="16.5" x14ac:dyDescent="0.35">
      <c r="B72" s="5" t="s">
        <v>193</v>
      </c>
      <c r="C72" s="21" t="s">
        <v>31</v>
      </c>
      <c r="D72" s="24">
        <v>0.15</v>
      </c>
      <c r="J72" s="5" t="s">
        <v>4</v>
      </c>
      <c r="K72" s="5" t="s">
        <v>120</v>
      </c>
      <c r="L72" s="5"/>
    </row>
    <row r="73" spans="2:12" ht="16.5" x14ac:dyDescent="0.35">
      <c r="B73" s="5" t="s">
        <v>194</v>
      </c>
      <c r="C73" s="21" t="s">
        <v>153</v>
      </c>
      <c r="D73" s="24">
        <v>7.0000000000000007E-2</v>
      </c>
      <c r="J73" s="5" t="s">
        <v>119</v>
      </c>
      <c r="K73" s="5" t="s">
        <v>69</v>
      </c>
      <c r="L73" s="5" t="s">
        <v>195</v>
      </c>
    </row>
    <row r="74" spans="2:12" ht="16.5" x14ac:dyDescent="0.35">
      <c r="B74" s="5" t="s">
        <v>196</v>
      </c>
      <c r="C74" s="21" t="s">
        <v>197</v>
      </c>
      <c r="D74" s="24">
        <v>0.03</v>
      </c>
      <c r="J74" s="5" t="s">
        <v>198</v>
      </c>
      <c r="K74" s="5" t="s">
        <v>199</v>
      </c>
      <c r="L74" s="5" t="s">
        <v>200</v>
      </c>
    </row>
    <row r="75" spans="2:12" ht="16.5" x14ac:dyDescent="0.35">
      <c r="B75" s="5" t="s">
        <v>201</v>
      </c>
      <c r="C75" s="21" t="s">
        <v>18</v>
      </c>
      <c r="D75" s="23">
        <v>2027</v>
      </c>
      <c r="J75" s="5" t="s">
        <v>202</v>
      </c>
      <c r="K75" s="5" t="s">
        <v>137</v>
      </c>
      <c r="L75" s="5" t="s">
        <v>203</v>
      </c>
    </row>
    <row r="76" spans="2:12" ht="16.5" x14ac:dyDescent="0.35">
      <c r="B76" s="5" t="s">
        <v>204</v>
      </c>
      <c r="C76" s="21" t="s">
        <v>22</v>
      </c>
      <c r="D76" s="34">
        <v>0.2</v>
      </c>
      <c r="J76" s="5" t="s">
        <v>4</v>
      </c>
      <c r="K76" s="5" t="s">
        <v>120</v>
      </c>
      <c r="L76" s="5"/>
    </row>
    <row r="77" spans="2:12" ht="16.5" x14ac:dyDescent="0.35">
      <c r="B77" s="29" t="s">
        <v>205</v>
      </c>
      <c r="C77" s="26" t="s">
        <v>31</v>
      </c>
      <c r="D77" s="33">
        <v>0.35</v>
      </c>
      <c r="E77" s="27"/>
      <c r="F77" s="27"/>
      <c r="G77" s="27"/>
      <c r="H77" s="27"/>
      <c r="I77" s="27"/>
      <c r="J77" s="29" t="s">
        <v>4</v>
      </c>
      <c r="K77" s="29" t="s">
        <v>120</v>
      </c>
      <c r="L77" s="29"/>
    </row>
    <row r="78" spans="2:12" ht="20.100000000000001" customHeight="1" x14ac:dyDescent="0.35">
      <c r="B78" s="22" t="s">
        <v>206</v>
      </c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2:12" ht="16.5" x14ac:dyDescent="0.15">
      <c r="B79" s="6" t="s">
        <v>54</v>
      </c>
      <c r="C79" s="6" t="s">
        <v>16</v>
      </c>
      <c r="D79" s="6" t="s">
        <v>15</v>
      </c>
      <c r="E79" s="30"/>
      <c r="F79" s="30"/>
      <c r="G79" s="30"/>
      <c r="H79" s="30"/>
      <c r="I79" s="30"/>
      <c r="J79" s="6" t="s">
        <v>61</v>
      </c>
      <c r="K79" s="6" t="s">
        <v>62</v>
      </c>
      <c r="L79" s="6" t="s">
        <v>63</v>
      </c>
    </row>
    <row r="80" spans="2:12" ht="16.5" x14ac:dyDescent="0.35">
      <c r="B80" s="5" t="s">
        <v>207</v>
      </c>
      <c r="C80" s="21" t="s">
        <v>26</v>
      </c>
      <c r="D80" s="25">
        <v>1500</v>
      </c>
      <c r="J80" s="5" t="s">
        <v>4</v>
      </c>
      <c r="K80" s="5" t="s">
        <v>120</v>
      </c>
      <c r="L80" s="5"/>
    </row>
    <row r="81" spans="2:12" ht="16.5" x14ac:dyDescent="0.35">
      <c r="B81" s="29" t="s">
        <v>208</v>
      </c>
      <c r="C81" s="26" t="s">
        <v>31</v>
      </c>
      <c r="D81" s="33">
        <v>0.15</v>
      </c>
      <c r="E81" s="27"/>
      <c r="F81" s="27"/>
      <c r="G81" s="27"/>
      <c r="H81" s="27"/>
      <c r="I81" s="27"/>
      <c r="J81" s="29" t="s">
        <v>4</v>
      </c>
      <c r="K81" s="29" t="s">
        <v>120</v>
      </c>
      <c r="L81" s="29"/>
    </row>
    <row r="82" spans="2:12" ht="20.100000000000001" customHeight="1" x14ac:dyDescent="0.35">
      <c r="B82" s="22" t="s">
        <v>209</v>
      </c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 ht="16.5" x14ac:dyDescent="0.15">
      <c r="B83" s="6" t="s">
        <v>54</v>
      </c>
      <c r="C83" s="6" t="s">
        <v>16</v>
      </c>
      <c r="D83" s="6" t="s">
        <v>15</v>
      </c>
      <c r="E83" s="30"/>
      <c r="F83" s="30"/>
      <c r="G83" s="30"/>
      <c r="H83" s="30"/>
      <c r="I83" s="30"/>
      <c r="J83" s="6" t="s">
        <v>61</v>
      </c>
      <c r="K83" s="6" t="s">
        <v>62</v>
      </c>
      <c r="L83" s="6" t="s">
        <v>63</v>
      </c>
    </row>
    <row r="84" spans="2:12" ht="16.5" x14ac:dyDescent="0.35">
      <c r="B84" s="5" t="s">
        <v>210</v>
      </c>
      <c r="C84" s="21" t="s">
        <v>211</v>
      </c>
      <c r="D84" s="25">
        <v>848</v>
      </c>
      <c r="J84" s="5" t="s">
        <v>212</v>
      </c>
      <c r="K84" s="5" t="s">
        <v>213</v>
      </c>
      <c r="L84" s="5" t="s">
        <v>214</v>
      </c>
    </row>
    <row r="85" spans="2:12" ht="16.5" x14ac:dyDescent="0.35">
      <c r="B85" s="5" t="s">
        <v>215</v>
      </c>
      <c r="C85" s="21" t="s">
        <v>28</v>
      </c>
      <c r="D85" s="25">
        <v>5743</v>
      </c>
      <c r="J85" s="5" t="s">
        <v>216</v>
      </c>
      <c r="K85" s="5" t="s">
        <v>137</v>
      </c>
      <c r="L85" s="5"/>
    </row>
    <row r="86" spans="2:12" ht="16.5" x14ac:dyDescent="0.35">
      <c r="B86" s="5" t="s">
        <v>217</v>
      </c>
      <c r="C86" s="21" t="s">
        <v>211</v>
      </c>
      <c r="D86" s="25">
        <v>611</v>
      </c>
      <c r="J86" s="5" t="s">
        <v>218</v>
      </c>
      <c r="K86" s="5" t="s">
        <v>117</v>
      </c>
      <c r="L86" s="5"/>
    </row>
    <row r="87" spans="2:12" ht="33" x14ac:dyDescent="0.35">
      <c r="B87" s="5" t="s">
        <v>219</v>
      </c>
      <c r="C87" s="21" t="s">
        <v>31</v>
      </c>
      <c r="D87" s="35">
        <v>6.3500000000000001E-2</v>
      </c>
      <c r="J87" s="5" t="s">
        <v>220</v>
      </c>
      <c r="K87" s="5" t="s">
        <v>221</v>
      </c>
      <c r="L87" s="5" t="s">
        <v>222</v>
      </c>
    </row>
    <row r="88" spans="2:12" ht="16.5" x14ac:dyDescent="0.35">
      <c r="B88" s="5" t="s">
        <v>223</v>
      </c>
      <c r="C88" s="21" t="s">
        <v>224</v>
      </c>
      <c r="D88" s="25">
        <v>6</v>
      </c>
      <c r="J88" s="5" t="s">
        <v>225</v>
      </c>
      <c r="K88" s="5" t="s">
        <v>117</v>
      </c>
      <c r="L88" s="5" t="s">
        <v>226</v>
      </c>
    </row>
    <row r="89" spans="2:12" ht="16.5" x14ac:dyDescent="0.35">
      <c r="B89" s="5" t="s">
        <v>227</v>
      </c>
      <c r="C89" s="21" t="s">
        <v>18</v>
      </c>
      <c r="D89" s="23">
        <v>2027</v>
      </c>
      <c r="J89" s="5" t="s">
        <v>218</v>
      </c>
      <c r="K89" s="5" t="s">
        <v>69</v>
      </c>
      <c r="L89" s="5"/>
    </row>
    <row r="90" spans="2:12" ht="16.5" x14ac:dyDescent="0.35">
      <c r="B90" s="5" t="s">
        <v>228</v>
      </c>
      <c r="C90" s="21" t="s">
        <v>28</v>
      </c>
      <c r="D90" s="25">
        <v>160</v>
      </c>
      <c r="J90" s="5" t="s">
        <v>220</v>
      </c>
      <c r="K90" s="5" t="s">
        <v>221</v>
      </c>
      <c r="L90" s="5" t="s">
        <v>229</v>
      </c>
    </row>
    <row r="91" spans="2:12" ht="16.5" x14ac:dyDescent="0.35">
      <c r="B91" s="5" t="s">
        <v>230</v>
      </c>
      <c r="C91" s="21" t="s">
        <v>31</v>
      </c>
      <c r="D91" s="24">
        <v>0.5</v>
      </c>
      <c r="J91" s="5" t="s">
        <v>212</v>
      </c>
      <c r="K91" s="5" t="s">
        <v>137</v>
      </c>
      <c r="L91" s="5"/>
    </row>
    <row r="92" spans="2:12" ht="16.5" x14ac:dyDescent="0.35">
      <c r="B92" s="5" t="s">
        <v>231</v>
      </c>
      <c r="C92" s="21" t="s">
        <v>224</v>
      </c>
      <c r="D92" s="25">
        <v>4</v>
      </c>
      <c r="J92" s="5" t="s">
        <v>4</v>
      </c>
      <c r="K92" s="5" t="s">
        <v>120</v>
      </c>
      <c r="L92" s="5"/>
    </row>
    <row r="93" spans="2:12" ht="33" x14ac:dyDescent="0.35">
      <c r="B93" s="5" t="s">
        <v>232</v>
      </c>
      <c r="C93" s="21" t="s">
        <v>31</v>
      </c>
      <c r="D93" s="24">
        <v>7.0000000000000007E-2</v>
      </c>
      <c r="J93" s="5" t="s">
        <v>233</v>
      </c>
      <c r="K93" s="5" t="s">
        <v>213</v>
      </c>
      <c r="L93" s="5" t="s">
        <v>234</v>
      </c>
    </row>
    <row r="94" spans="2:12" ht="16.5" x14ac:dyDescent="0.35">
      <c r="B94" s="29" t="s">
        <v>235</v>
      </c>
      <c r="C94" s="26" t="s">
        <v>18</v>
      </c>
      <c r="D94" s="31">
        <v>2030</v>
      </c>
      <c r="E94" s="27"/>
      <c r="F94" s="27"/>
      <c r="G94" s="27"/>
      <c r="H94" s="27"/>
      <c r="I94" s="27"/>
      <c r="J94" s="29" t="s">
        <v>218</v>
      </c>
      <c r="K94" s="29" t="s">
        <v>69</v>
      </c>
      <c r="L94" s="29"/>
    </row>
    <row r="95" spans="2:12" ht="20.100000000000001" customHeight="1" x14ac:dyDescent="0.35">
      <c r="B95" s="22" t="s">
        <v>236</v>
      </c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 ht="16.5" x14ac:dyDescent="0.15">
      <c r="B96" s="6" t="s">
        <v>54</v>
      </c>
      <c r="C96" s="6" t="s">
        <v>16</v>
      </c>
      <c r="D96" s="6" t="s">
        <v>15</v>
      </c>
      <c r="E96" s="30"/>
      <c r="F96" s="30"/>
      <c r="G96" s="30"/>
      <c r="H96" s="30"/>
      <c r="I96" s="30"/>
      <c r="J96" s="6" t="s">
        <v>61</v>
      </c>
      <c r="K96" s="6" t="s">
        <v>62</v>
      </c>
      <c r="L96" s="6" t="s">
        <v>63</v>
      </c>
    </row>
    <row r="97" spans="2:12" ht="16.5" x14ac:dyDescent="0.35">
      <c r="B97" s="5" t="s">
        <v>237</v>
      </c>
      <c r="C97" s="21" t="s">
        <v>18</v>
      </c>
      <c r="D97" s="23">
        <v>2027</v>
      </c>
      <c r="J97" s="5" t="s">
        <v>238</v>
      </c>
      <c r="K97" s="5" t="s">
        <v>239</v>
      </c>
      <c r="L97" s="5" t="s">
        <v>240</v>
      </c>
    </row>
    <row r="98" spans="2:12" ht="16.5" x14ac:dyDescent="0.35">
      <c r="B98" s="5" t="s">
        <v>241</v>
      </c>
      <c r="C98" s="21" t="s">
        <v>28</v>
      </c>
      <c r="D98" s="25">
        <v>-50</v>
      </c>
      <c r="J98" s="5" t="s">
        <v>4</v>
      </c>
      <c r="K98" s="5" t="s">
        <v>120</v>
      </c>
      <c r="L98" s="5"/>
    </row>
    <row r="99" spans="2:12" ht="16.5" x14ac:dyDescent="0.35">
      <c r="B99" s="5" t="s">
        <v>242</v>
      </c>
      <c r="C99" s="21" t="s">
        <v>28</v>
      </c>
      <c r="D99" s="25">
        <v>6000</v>
      </c>
      <c r="J99" s="5" t="s">
        <v>243</v>
      </c>
      <c r="K99" s="5" t="s">
        <v>120</v>
      </c>
      <c r="L99" s="5" t="s">
        <v>244</v>
      </c>
    </row>
    <row r="100" spans="2:12" ht="16.5" x14ac:dyDescent="0.35">
      <c r="B100" s="5" t="s">
        <v>245</v>
      </c>
      <c r="C100" s="21" t="s">
        <v>28</v>
      </c>
      <c r="D100" s="25">
        <v>700</v>
      </c>
      <c r="J100" s="5" t="s">
        <v>4</v>
      </c>
      <c r="K100" s="5" t="s">
        <v>120</v>
      </c>
      <c r="L100" s="5"/>
    </row>
    <row r="101" spans="2:12" ht="16.5" x14ac:dyDescent="0.35">
      <c r="B101" s="5" t="s">
        <v>246</v>
      </c>
      <c r="C101" s="21" t="s">
        <v>28</v>
      </c>
      <c r="D101" s="25">
        <v>500</v>
      </c>
      <c r="J101" s="5" t="s">
        <v>4</v>
      </c>
      <c r="K101" s="5" t="s">
        <v>120</v>
      </c>
      <c r="L101" s="5"/>
    </row>
    <row r="102" spans="2:12" ht="16.5" x14ac:dyDescent="0.35">
      <c r="B102" s="5" t="s">
        <v>247</v>
      </c>
      <c r="C102" s="21" t="s">
        <v>31</v>
      </c>
      <c r="D102" s="24">
        <v>0.5</v>
      </c>
      <c r="J102" s="5" t="s">
        <v>4</v>
      </c>
      <c r="K102" s="5" t="s">
        <v>120</v>
      </c>
      <c r="L102" s="5" t="s">
        <v>248</v>
      </c>
    </row>
    <row r="103" spans="2:12" ht="16.5" x14ac:dyDescent="0.35">
      <c r="B103" s="5" t="s">
        <v>249</v>
      </c>
      <c r="C103" s="21" t="s">
        <v>22</v>
      </c>
      <c r="D103" s="25">
        <v>2</v>
      </c>
      <c r="J103" s="5" t="s">
        <v>4</v>
      </c>
      <c r="K103" s="5" t="s">
        <v>120</v>
      </c>
      <c r="L103" s="5"/>
    </row>
    <row r="104" spans="2:12" ht="16.5" x14ac:dyDescent="0.35">
      <c r="B104" s="5" t="s">
        <v>250</v>
      </c>
      <c r="C104" s="21" t="s">
        <v>251</v>
      </c>
      <c r="D104" s="25">
        <v>100</v>
      </c>
      <c r="J104" s="5" t="s">
        <v>4</v>
      </c>
      <c r="K104" s="5" t="s">
        <v>120</v>
      </c>
      <c r="L104" s="5" t="s">
        <v>252</v>
      </c>
    </row>
    <row r="105" spans="2:12" ht="16.5" x14ac:dyDescent="0.35">
      <c r="B105" s="5" t="s">
        <v>253</v>
      </c>
      <c r="C105" s="21" t="s">
        <v>31</v>
      </c>
      <c r="D105" s="24">
        <v>0.3</v>
      </c>
      <c r="J105" s="5" t="s">
        <v>4</v>
      </c>
      <c r="K105" s="5" t="s">
        <v>120</v>
      </c>
      <c r="L105" s="5"/>
    </row>
    <row r="106" spans="2:12" ht="16.5" x14ac:dyDescent="0.35">
      <c r="B106" s="5" t="s">
        <v>254</v>
      </c>
      <c r="C106" s="21" t="s">
        <v>28</v>
      </c>
      <c r="D106" s="25">
        <v>300</v>
      </c>
      <c r="J106" s="5" t="s">
        <v>4</v>
      </c>
      <c r="K106" s="5" t="s">
        <v>120</v>
      </c>
      <c r="L106" s="5"/>
    </row>
    <row r="107" spans="2:12" ht="16.5" x14ac:dyDescent="0.35">
      <c r="B107" s="5" t="s">
        <v>21</v>
      </c>
      <c r="C107" s="21" t="s">
        <v>22</v>
      </c>
      <c r="D107" s="36">
        <v>6</v>
      </c>
      <c r="J107" s="5" t="s">
        <v>4</v>
      </c>
      <c r="K107" s="5" t="s">
        <v>120</v>
      </c>
      <c r="L107" s="5"/>
    </row>
    <row r="108" spans="2:12" ht="16.5" x14ac:dyDescent="0.35">
      <c r="B108" s="5" t="s">
        <v>255</v>
      </c>
      <c r="C108" s="21" t="s">
        <v>31</v>
      </c>
      <c r="D108" s="24">
        <v>0.3</v>
      </c>
      <c r="J108" s="5" t="s">
        <v>4</v>
      </c>
      <c r="K108" s="5" t="s">
        <v>120</v>
      </c>
      <c r="L108" s="5"/>
    </row>
    <row r="109" spans="2:12" ht="16.5" x14ac:dyDescent="0.35">
      <c r="B109" s="5" t="s">
        <v>256</v>
      </c>
      <c r="C109" s="21" t="s">
        <v>28</v>
      </c>
      <c r="D109" s="25">
        <v>280</v>
      </c>
      <c r="J109" s="5" t="s">
        <v>98</v>
      </c>
      <c r="K109" s="5" t="s">
        <v>257</v>
      </c>
      <c r="L109" s="5"/>
    </row>
    <row r="110" spans="2:12" ht="16.5" x14ac:dyDescent="0.35">
      <c r="B110" s="5" t="s">
        <v>258</v>
      </c>
      <c r="C110" s="21" t="s">
        <v>28</v>
      </c>
      <c r="D110" s="25">
        <v>270</v>
      </c>
      <c r="J110" s="5" t="s">
        <v>259</v>
      </c>
      <c r="K110" s="5" t="s">
        <v>260</v>
      </c>
      <c r="L110" s="5"/>
    </row>
    <row r="111" spans="2:12" ht="16.5" x14ac:dyDescent="0.35">
      <c r="B111" s="29" t="s">
        <v>261</v>
      </c>
      <c r="C111" s="26" t="s">
        <v>18</v>
      </c>
      <c r="D111" s="31">
        <v>2028</v>
      </c>
      <c r="E111" s="27"/>
      <c r="F111" s="27"/>
      <c r="G111" s="27"/>
      <c r="H111" s="27"/>
      <c r="I111" s="27"/>
      <c r="J111" s="29" t="s">
        <v>47</v>
      </c>
      <c r="K111" s="29" t="s">
        <v>164</v>
      </c>
      <c r="L111" s="29"/>
    </row>
    <row r="112" spans="2:12" ht="20.100000000000001" customHeight="1" x14ac:dyDescent="0.35">
      <c r="B112" s="22" t="s">
        <v>262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2:12" ht="16.5" x14ac:dyDescent="0.15">
      <c r="B113" s="6" t="s">
        <v>54</v>
      </c>
      <c r="C113" s="6" t="s">
        <v>16</v>
      </c>
      <c r="D113" s="6" t="s">
        <v>15</v>
      </c>
      <c r="E113" s="30"/>
      <c r="F113" s="30"/>
      <c r="G113" s="30"/>
      <c r="H113" s="30"/>
      <c r="I113" s="30"/>
      <c r="J113" s="6" t="s">
        <v>61</v>
      </c>
      <c r="K113" s="6" t="s">
        <v>62</v>
      </c>
      <c r="L113" s="6" t="s">
        <v>63</v>
      </c>
    </row>
    <row r="114" spans="2:12" ht="16.5" x14ac:dyDescent="0.35">
      <c r="B114" s="5" t="s">
        <v>263</v>
      </c>
      <c r="C114" s="21" t="s">
        <v>28</v>
      </c>
      <c r="D114" s="25">
        <v>1310</v>
      </c>
      <c r="J114" s="5" t="s">
        <v>264</v>
      </c>
      <c r="K114" s="5" t="s">
        <v>137</v>
      </c>
      <c r="L114" s="5" t="s">
        <v>265</v>
      </c>
    </row>
    <row r="115" spans="2:12" ht="16.5" x14ac:dyDescent="0.35">
      <c r="B115" s="5" t="s">
        <v>266</v>
      </c>
      <c r="C115" s="21" t="s">
        <v>31</v>
      </c>
      <c r="D115" s="35">
        <v>0.49409999999999998</v>
      </c>
      <c r="J115" s="5" t="s">
        <v>267</v>
      </c>
      <c r="K115" s="5" t="s">
        <v>137</v>
      </c>
      <c r="L115" s="5"/>
    </row>
    <row r="116" spans="2:12" ht="16.5" x14ac:dyDescent="0.35">
      <c r="B116" s="5" t="s">
        <v>268</v>
      </c>
      <c r="C116" s="21" t="s">
        <v>31</v>
      </c>
      <c r="D116" s="35">
        <v>0.50590000000000002</v>
      </c>
      <c r="J116" s="5" t="s">
        <v>267</v>
      </c>
      <c r="K116" s="5" t="s">
        <v>137</v>
      </c>
      <c r="L116" s="5"/>
    </row>
    <row r="117" spans="2:12" ht="16.5" x14ac:dyDescent="0.35">
      <c r="B117" s="5" t="s">
        <v>269</v>
      </c>
      <c r="C117" s="21" t="s">
        <v>251</v>
      </c>
      <c r="D117" s="25">
        <v>50</v>
      </c>
      <c r="J117" s="5" t="s">
        <v>4</v>
      </c>
      <c r="K117" s="5" t="s">
        <v>120</v>
      </c>
      <c r="L117" s="5"/>
    </row>
    <row r="118" spans="2:12" ht="16.5" x14ac:dyDescent="0.35">
      <c r="B118" s="29" t="s">
        <v>270</v>
      </c>
      <c r="C118" s="26" t="s">
        <v>28</v>
      </c>
      <c r="D118" s="28">
        <v>141</v>
      </c>
      <c r="E118" s="27"/>
      <c r="F118" s="27"/>
      <c r="G118" s="27"/>
      <c r="H118" s="27"/>
      <c r="I118" s="27"/>
      <c r="J118" s="29" t="s">
        <v>271</v>
      </c>
      <c r="K118" s="29" t="s">
        <v>117</v>
      </c>
      <c r="L118" s="29" t="s">
        <v>272</v>
      </c>
    </row>
    <row r="119" spans="2:12" ht="20.100000000000001" customHeight="1" x14ac:dyDescent="0.35">
      <c r="B119" s="22" t="s">
        <v>273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5" x14ac:dyDescent="0.15">
      <c r="B120" s="6" t="s">
        <v>54</v>
      </c>
      <c r="C120" s="6" t="s">
        <v>16</v>
      </c>
      <c r="D120" s="6" t="s">
        <v>15</v>
      </c>
      <c r="E120" s="30"/>
      <c r="F120" s="30"/>
      <c r="G120" s="30"/>
      <c r="H120" s="30"/>
      <c r="I120" s="30"/>
      <c r="J120" s="6" t="s">
        <v>61</v>
      </c>
      <c r="K120" s="6" t="s">
        <v>62</v>
      </c>
      <c r="L120" s="6" t="s">
        <v>63</v>
      </c>
    </row>
    <row r="121" spans="2:12" ht="16.5" x14ac:dyDescent="0.35">
      <c r="B121" s="5" t="s">
        <v>274</v>
      </c>
      <c r="C121" s="21" t="s">
        <v>31</v>
      </c>
      <c r="D121" s="24">
        <v>0.02</v>
      </c>
      <c r="J121" s="5" t="s">
        <v>4</v>
      </c>
      <c r="K121" s="5" t="s">
        <v>120</v>
      </c>
      <c r="L121" s="5"/>
    </row>
    <row r="122" spans="2:12" ht="16.5" x14ac:dyDescent="0.35">
      <c r="B122" s="5" t="s">
        <v>275</v>
      </c>
      <c r="C122" s="21" t="s">
        <v>31</v>
      </c>
      <c r="D122" s="24">
        <v>0.27</v>
      </c>
      <c r="J122" s="5" t="s">
        <v>4</v>
      </c>
      <c r="K122" s="5" t="s">
        <v>276</v>
      </c>
      <c r="L122" s="5"/>
    </row>
    <row r="123" spans="2:12" ht="16.5" x14ac:dyDescent="0.35">
      <c r="B123" s="5" t="s">
        <v>277</v>
      </c>
      <c r="C123" s="21" t="s">
        <v>31</v>
      </c>
      <c r="D123" s="24">
        <v>0.3</v>
      </c>
      <c r="J123" s="5" t="s">
        <v>98</v>
      </c>
      <c r="K123" s="5" t="s">
        <v>69</v>
      </c>
      <c r="L123" s="5"/>
    </row>
    <row r="124" spans="2:12" ht="16.5" x14ac:dyDescent="0.35">
      <c r="B124" s="5" t="s">
        <v>278</v>
      </c>
      <c r="C124" s="21" t="s">
        <v>279</v>
      </c>
      <c r="D124" s="32">
        <v>1358.7</v>
      </c>
      <c r="J124" s="5" t="s">
        <v>280</v>
      </c>
      <c r="K124" s="5" t="s">
        <v>137</v>
      </c>
      <c r="L124" s="5"/>
    </row>
    <row r="125" spans="2:12" ht="16.5" x14ac:dyDescent="0.35">
      <c r="B125" s="5" t="s">
        <v>281</v>
      </c>
      <c r="C125" s="21" t="s">
        <v>147</v>
      </c>
      <c r="D125" s="25">
        <v>32</v>
      </c>
      <c r="J125" s="5" t="s">
        <v>282</v>
      </c>
      <c r="K125" s="5" t="s">
        <v>137</v>
      </c>
      <c r="L125" s="5"/>
    </row>
    <row r="126" spans="2:12" ht="16.5" x14ac:dyDescent="0.35">
      <c r="B126" s="5" t="s">
        <v>283</v>
      </c>
      <c r="C126" s="21" t="s">
        <v>31</v>
      </c>
      <c r="D126" s="24">
        <v>0.35</v>
      </c>
      <c r="J126" s="5" t="s">
        <v>282</v>
      </c>
      <c r="K126" s="5" t="s">
        <v>137</v>
      </c>
      <c r="L126" s="5"/>
    </row>
    <row r="127" spans="2:12" ht="16.5" x14ac:dyDescent="0.35">
      <c r="B127" s="5" t="s">
        <v>284</v>
      </c>
      <c r="C127" s="21" t="s">
        <v>28</v>
      </c>
      <c r="D127" s="25">
        <v>17617</v>
      </c>
      <c r="J127" s="5" t="s">
        <v>136</v>
      </c>
      <c r="K127" s="5" t="s">
        <v>137</v>
      </c>
      <c r="L127" s="5"/>
    </row>
    <row r="128" spans="2:12" ht="16.5" x14ac:dyDescent="0.35">
      <c r="B128" s="5" t="s">
        <v>285</v>
      </c>
      <c r="C128" s="21" t="s">
        <v>28</v>
      </c>
      <c r="D128" s="25">
        <v>6530</v>
      </c>
      <c r="J128" s="5" t="s">
        <v>98</v>
      </c>
      <c r="K128" s="5" t="s">
        <v>137</v>
      </c>
      <c r="L128" s="5" t="s">
        <v>286</v>
      </c>
    </row>
    <row r="129" spans="2:12" ht="16.5" x14ac:dyDescent="0.35">
      <c r="B129" s="5" t="s">
        <v>287</v>
      </c>
      <c r="C129" s="21" t="s">
        <v>28</v>
      </c>
      <c r="D129" s="25">
        <v>14648</v>
      </c>
      <c r="J129" s="5" t="s">
        <v>136</v>
      </c>
      <c r="K129" s="5" t="s">
        <v>137</v>
      </c>
      <c r="L129" s="5"/>
    </row>
    <row r="130" spans="2:12" ht="16.5" x14ac:dyDescent="0.35">
      <c r="B130" s="5" t="s">
        <v>288</v>
      </c>
      <c r="C130" s="21" t="s">
        <v>28</v>
      </c>
      <c r="D130" s="25">
        <v>4500</v>
      </c>
      <c r="J130" s="5" t="s">
        <v>4</v>
      </c>
      <c r="K130" s="5" t="s">
        <v>120</v>
      </c>
      <c r="L130" s="5"/>
    </row>
    <row r="131" spans="2:12" ht="16.5" x14ac:dyDescent="0.35">
      <c r="B131" s="5" t="s">
        <v>289</v>
      </c>
      <c r="C131" s="21" t="s">
        <v>31</v>
      </c>
      <c r="D131" s="24">
        <v>0.15</v>
      </c>
      <c r="J131" s="5" t="s">
        <v>4</v>
      </c>
      <c r="K131" s="5" t="s">
        <v>120</v>
      </c>
      <c r="L131" s="5"/>
    </row>
    <row r="132" spans="2:12" ht="16.5" x14ac:dyDescent="0.35">
      <c r="B132" s="29" t="s">
        <v>290</v>
      </c>
      <c r="C132" s="26" t="s">
        <v>28</v>
      </c>
      <c r="D132" s="28">
        <v>37040</v>
      </c>
      <c r="E132" s="27"/>
      <c r="F132" s="27"/>
      <c r="G132" s="27"/>
      <c r="H132" s="27"/>
      <c r="I132" s="27"/>
      <c r="J132" s="29" t="s">
        <v>291</v>
      </c>
      <c r="K132" s="29" t="s">
        <v>137</v>
      </c>
      <c r="L132" s="29" t="s">
        <v>292</v>
      </c>
    </row>
    <row r="133" spans="2:12" ht="20.100000000000001" customHeight="1" x14ac:dyDescent="0.35">
      <c r="B133" s="22" t="s">
        <v>293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2:12" ht="16.5" x14ac:dyDescent="0.15">
      <c r="B134" s="6" t="s">
        <v>54</v>
      </c>
      <c r="C134" s="6" t="s">
        <v>16</v>
      </c>
      <c r="D134" s="6" t="s">
        <v>15</v>
      </c>
      <c r="E134" s="30"/>
      <c r="F134" s="30"/>
      <c r="G134" s="30"/>
      <c r="H134" s="30"/>
      <c r="I134" s="30"/>
      <c r="J134" s="6" t="s">
        <v>61</v>
      </c>
      <c r="K134" s="6" t="s">
        <v>62</v>
      </c>
      <c r="L134" s="6" t="s">
        <v>63</v>
      </c>
    </row>
    <row r="135" spans="2:12" ht="16.5" x14ac:dyDescent="0.35">
      <c r="B135" s="5" t="s">
        <v>294</v>
      </c>
      <c r="C135" s="21" t="s">
        <v>28</v>
      </c>
      <c r="D135" s="25">
        <v>10000</v>
      </c>
      <c r="J135" s="5" t="s">
        <v>295</v>
      </c>
      <c r="K135" s="5" t="s">
        <v>73</v>
      </c>
      <c r="L135" s="5"/>
    </row>
    <row r="136" spans="2:12" ht="16.5" x14ac:dyDescent="0.35">
      <c r="B136" s="5" t="s">
        <v>296</v>
      </c>
      <c r="C136" s="21" t="s">
        <v>28</v>
      </c>
      <c r="D136" s="25">
        <v>3434</v>
      </c>
      <c r="J136" s="5" t="s">
        <v>297</v>
      </c>
      <c r="K136" s="5" t="s">
        <v>137</v>
      </c>
      <c r="L136" s="5"/>
    </row>
    <row r="137" spans="2:12" ht="16.5" x14ac:dyDescent="0.35">
      <c r="B137" s="5" t="s">
        <v>298</v>
      </c>
      <c r="C137" s="21" t="s">
        <v>28</v>
      </c>
      <c r="D137" s="25">
        <v>4390</v>
      </c>
      <c r="J137" s="5" t="s">
        <v>297</v>
      </c>
      <c r="K137" s="5" t="s">
        <v>137</v>
      </c>
      <c r="L137" s="5" t="s">
        <v>299</v>
      </c>
    </row>
    <row r="138" spans="2:12" ht="16.5" x14ac:dyDescent="0.35">
      <c r="B138" s="5" t="s">
        <v>300</v>
      </c>
      <c r="C138" s="21" t="s">
        <v>31</v>
      </c>
      <c r="D138" s="24">
        <v>0.2</v>
      </c>
      <c r="J138" s="5" t="s">
        <v>47</v>
      </c>
      <c r="K138" s="5" t="s">
        <v>120</v>
      </c>
      <c r="L138" s="5" t="s">
        <v>301</v>
      </c>
    </row>
    <row r="139" spans="2:12" ht="16.5" x14ac:dyDescent="0.35">
      <c r="B139" s="5" t="s">
        <v>302</v>
      </c>
      <c r="C139" s="21" t="s">
        <v>31</v>
      </c>
      <c r="D139" s="24">
        <v>0.49</v>
      </c>
      <c r="J139" s="5" t="s">
        <v>47</v>
      </c>
      <c r="K139" s="5" t="s">
        <v>120</v>
      </c>
      <c r="L139" s="5" t="s">
        <v>303</v>
      </c>
    </row>
    <row r="140" spans="2:12" ht="16.5" x14ac:dyDescent="0.35">
      <c r="B140" s="5" t="s">
        <v>304</v>
      </c>
      <c r="C140" s="21" t="s">
        <v>18</v>
      </c>
      <c r="D140" s="23">
        <v>2027</v>
      </c>
      <c r="J140" s="5" t="s">
        <v>4</v>
      </c>
      <c r="K140" s="5" t="s">
        <v>120</v>
      </c>
      <c r="L140" s="5" t="s">
        <v>305</v>
      </c>
    </row>
    <row r="141" spans="2:12" ht="16.5" x14ac:dyDescent="0.35">
      <c r="B141" s="5" t="s">
        <v>306</v>
      </c>
      <c r="C141" s="21" t="s">
        <v>22</v>
      </c>
      <c r="D141" s="34">
        <v>0.5</v>
      </c>
      <c r="J141" s="5" t="s">
        <v>4</v>
      </c>
      <c r="K141" s="5" t="s">
        <v>168</v>
      </c>
      <c r="L141" s="5" t="s">
        <v>307</v>
      </c>
    </row>
    <row r="142" spans="2:12" ht="16.5" x14ac:dyDescent="0.35">
      <c r="B142" s="5" t="s">
        <v>308</v>
      </c>
      <c r="C142" s="21" t="s">
        <v>153</v>
      </c>
      <c r="D142" s="24">
        <v>0.03</v>
      </c>
      <c r="J142" s="5" t="s">
        <v>4</v>
      </c>
      <c r="K142" s="5" t="s">
        <v>120</v>
      </c>
      <c r="L142" s="5" t="s">
        <v>309</v>
      </c>
    </row>
    <row r="143" spans="2:12" ht="16.5" x14ac:dyDescent="0.35">
      <c r="B143" s="5" t="s">
        <v>310</v>
      </c>
      <c r="C143" s="21" t="s">
        <v>18</v>
      </c>
      <c r="D143" s="23">
        <v>2028</v>
      </c>
      <c r="J143" s="5" t="s">
        <v>311</v>
      </c>
      <c r="K143" s="5" t="s">
        <v>120</v>
      </c>
      <c r="L143" s="5" t="s">
        <v>312</v>
      </c>
    </row>
    <row r="144" spans="2:12" ht="16.5" x14ac:dyDescent="0.35">
      <c r="B144" s="5" t="s">
        <v>313</v>
      </c>
      <c r="C144" s="21" t="s">
        <v>18</v>
      </c>
      <c r="D144" s="23">
        <v>2030</v>
      </c>
      <c r="J144" s="5" t="s">
        <v>314</v>
      </c>
      <c r="K144" s="5" t="s">
        <v>120</v>
      </c>
      <c r="L144" s="5"/>
    </row>
    <row r="145" spans="2:12" ht="16.5" x14ac:dyDescent="0.35">
      <c r="B145" s="5" t="s">
        <v>315</v>
      </c>
      <c r="C145" s="21" t="s">
        <v>22</v>
      </c>
      <c r="D145" s="34">
        <v>0.8</v>
      </c>
      <c r="J145" s="5" t="s">
        <v>316</v>
      </c>
      <c r="K145" s="5" t="s">
        <v>317</v>
      </c>
      <c r="L145" s="5" t="s">
        <v>318</v>
      </c>
    </row>
    <row r="146" spans="2:12" ht="16.5" x14ac:dyDescent="0.35">
      <c r="B146" s="5" t="s">
        <v>319</v>
      </c>
      <c r="C146" s="21" t="s">
        <v>31</v>
      </c>
      <c r="D146" s="24">
        <v>0.5</v>
      </c>
      <c r="J146" s="5" t="s">
        <v>47</v>
      </c>
      <c r="K146" s="5" t="s">
        <v>120</v>
      </c>
      <c r="L146" s="5" t="s">
        <v>320</v>
      </c>
    </row>
    <row r="147" spans="2:12" ht="16.5" x14ac:dyDescent="0.35">
      <c r="B147" s="5" t="s">
        <v>321</v>
      </c>
      <c r="C147" s="21" t="s">
        <v>31</v>
      </c>
      <c r="D147" s="24">
        <v>0.5</v>
      </c>
      <c r="J147" s="5" t="s">
        <v>47</v>
      </c>
      <c r="K147" s="5" t="s">
        <v>120</v>
      </c>
      <c r="L147" s="5" t="s">
        <v>322</v>
      </c>
    </row>
    <row r="148" spans="2:12" ht="16.5" x14ac:dyDescent="0.35">
      <c r="B148" s="5" t="s">
        <v>323</v>
      </c>
      <c r="C148" s="21" t="s">
        <v>31</v>
      </c>
      <c r="D148" s="24">
        <v>0.01</v>
      </c>
      <c r="J148" s="5" t="s">
        <v>47</v>
      </c>
      <c r="K148" s="5" t="s">
        <v>168</v>
      </c>
      <c r="L148" s="5" t="s">
        <v>324</v>
      </c>
    </row>
    <row r="149" spans="2:12" ht="16.5" x14ac:dyDescent="0.35">
      <c r="B149" s="5" t="s">
        <v>325</v>
      </c>
      <c r="C149" s="21" t="s">
        <v>28</v>
      </c>
      <c r="D149" s="25">
        <v>4407</v>
      </c>
      <c r="J149" s="5" t="s">
        <v>297</v>
      </c>
      <c r="K149" s="5" t="s">
        <v>137</v>
      </c>
      <c r="L149" s="5"/>
    </row>
    <row r="150" spans="2:12" ht="16.5" x14ac:dyDescent="0.35">
      <c r="B150" s="5" t="s">
        <v>326</v>
      </c>
      <c r="C150" s="21" t="s">
        <v>153</v>
      </c>
      <c r="D150" s="24">
        <v>7.0000000000000007E-2</v>
      </c>
      <c r="J150" s="5" t="s">
        <v>4</v>
      </c>
      <c r="K150" s="5" t="s">
        <v>69</v>
      </c>
      <c r="L150" s="5"/>
    </row>
    <row r="151" spans="2:12" ht="16.5" x14ac:dyDescent="0.35">
      <c r="B151" s="5" t="s">
        <v>327</v>
      </c>
      <c r="C151" s="21" t="s">
        <v>251</v>
      </c>
      <c r="D151" s="25">
        <v>492</v>
      </c>
      <c r="J151" s="5" t="s">
        <v>297</v>
      </c>
      <c r="K151" s="5" t="s">
        <v>137</v>
      </c>
      <c r="L151" s="5"/>
    </row>
    <row r="152" spans="2:12" ht="16.5" x14ac:dyDescent="0.35">
      <c r="B152" s="5" t="s">
        <v>328</v>
      </c>
      <c r="C152" s="21" t="s">
        <v>251</v>
      </c>
      <c r="D152" s="25">
        <v>300</v>
      </c>
      <c r="J152" s="5" t="s">
        <v>4</v>
      </c>
      <c r="K152" s="5" t="s">
        <v>120</v>
      </c>
      <c r="L152" s="5"/>
    </row>
    <row r="153" spans="2:12" ht="16.5" x14ac:dyDescent="0.35">
      <c r="B153" s="5" t="s">
        <v>329</v>
      </c>
      <c r="C153" s="21" t="s">
        <v>28</v>
      </c>
      <c r="D153" s="25">
        <v>1960</v>
      </c>
      <c r="J153" s="5" t="s">
        <v>297</v>
      </c>
      <c r="K153" s="5" t="s">
        <v>137</v>
      </c>
      <c r="L153" s="5"/>
    </row>
    <row r="154" spans="2:12" ht="16.5" x14ac:dyDescent="0.35">
      <c r="B154" s="5" t="s">
        <v>330</v>
      </c>
      <c r="C154" s="21" t="s">
        <v>153</v>
      </c>
      <c r="D154" s="24">
        <v>0.1</v>
      </c>
      <c r="J154" s="5" t="s">
        <v>107</v>
      </c>
      <c r="K154" s="5" t="s">
        <v>69</v>
      </c>
      <c r="L154" s="5" t="s">
        <v>331</v>
      </c>
    </row>
    <row r="155" spans="2:12" ht="16.5" x14ac:dyDescent="0.35">
      <c r="B155" s="5" t="s">
        <v>332</v>
      </c>
      <c r="C155" s="21" t="s">
        <v>22</v>
      </c>
      <c r="D155" s="34">
        <v>0.35</v>
      </c>
      <c r="J155" s="5" t="s">
        <v>4</v>
      </c>
      <c r="K155" s="5" t="s">
        <v>120</v>
      </c>
      <c r="L155" s="5"/>
    </row>
    <row r="156" spans="2:12" ht="16.5" x14ac:dyDescent="0.35">
      <c r="B156" s="5" t="s">
        <v>333</v>
      </c>
      <c r="C156" s="21" t="s">
        <v>197</v>
      </c>
      <c r="D156" s="24">
        <v>0.02</v>
      </c>
      <c r="J156" s="5" t="s">
        <v>4</v>
      </c>
      <c r="K156" s="5" t="s">
        <v>120</v>
      </c>
      <c r="L156" s="5" t="s">
        <v>334</v>
      </c>
    </row>
    <row r="157" spans="2:12" ht="16.5" x14ac:dyDescent="0.35">
      <c r="B157" s="5" t="s">
        <v>335</v>
      </c>
      <c r="C157" s="21" t="s">
        <v>31</v>
      </c>
      <c r="D157" s="24">
        <v>0.3</v>
      </c>
      <c r="J157" s="5" t="s">
        <v>4</v>
      </c>
      <c r="K157" s="5" t="s">
        <v>120</v>
      </c>
      <c r="L157" s="5"/>
    </row>
    <row r="158" spans="2:12" ht="16.5" x14ac:dyDescent="0.35">
      <c r="B158" s="5" t="s">
        <v>336</v>
      </c>
      <c r="C158" s="21" t="s">
        <v>251</v>
      </c>
      <c r="D158" s="25">
        <v>100</v>
      </c>
      <c r="J158" s="5" t="s">
        <v>4</v>
      </c>
      <c r="K158" s="5" t="s">
        <v>120</v>
      </c>
      <c r="L158" s="5"/>
    </row>
    <row r="159" spans="2:12" ht="16.5" x14ac:dyDescent="0.35">
      <c r="B159" s="29" t="s">
        <v>337</v>
      </c>
      <c r="C159" s="26" t="s">
        <v>31</v>
      </c>
      <c r="D159" s="33">
        <v>0.27</v>
      </c>
      <c r="E159" s="27"/>
      <c r="F159" s="27"/>
      <c r="G159" s="27"/>
      <c r="H159" s="27"/>
      <c r="I159" s="27"/>
      <c r="J159" s="29" t="s">
        <v>4</v>
      </c>
      <c r="K159" s="29" t="s">
        <v>120</v>
      </c>
      <c r="L159" s="29"/>
    </row>
    <row r="160" spans="2:12" ht="20.100000000000001" customHeight="1" x14ac:dyDescent="0.35">
      <c r="B160" s="22" t="s">
        <v>338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2:12" ht="16.5" x14ac:dyDescent="0.15">
      <c r="B161" s="6" t="s">
        <v>54</v>
      </c>
      <c r="C161" s="6" t="s">
        <v>16</v>
      </c>
      <c r="D161" s="6" t="s">
        <v>15</v>
      </c>
      <c r="E161" s="30"/>
      <c r="F161" s="30"/>
      <c r="G161" s="30"/>
      <c r="H161" s="30"/>
      <c r="I161" s="30"/>
      <c r="J161" s="6" t="s">
        <v>61</v>
      </c>
      <c r="K161" s="6" t="s">
        <v>62</v>
      </c>
      <c r="L161" s="6" t="s">
        <v>63</v>
      </c>
    </row>
    <row r="162" spans="2:12" ht="16.5" x14ac:dyDescent="0.35">
      <c r="B162" s="5" t="s">
        <v>339</v>
      </c>
      <c r="C162" s="21" t="s">
        <v>28</v>
      </c>
      <c r="D162" s="25">
        <v>45060</v>
      </c>
      <c r="J162" s="5" t="s">
        <v>340</v>
      </c>
      <c r="K162" s="5" t="s">
        <v>137</v>
      </c>
      <c r="L162" s="5"/>
    </row>
    <row r="163" spans="2:12" ht="16.5" x14ac:dyDescent="0.35">
      <c r="B163" s="5" t="s">
        <v>341</v>
      </c>
      <c r="C163" s="21" t="s">
        <v>28</v>
      </c>
      <c r="D163" s="25">
        <v>4600</v>
      </c>
      <c r="J163" s="5" t="s">
        <v>340</v>
      </c>
      <c r="K163" s="5" t="s">
        <v>137</v>
      </c>
      <c r="L163" s="5"/>
    </row>
    <row r="164" spans="2:12" ht="16.5" x14ac:dyDescent="0.35">
      <c r="B164" s="5" t="s">
        <v>342</v>
      </c>
      <c r="C164" s="21" t="s">
        <v>147</v>
      </c>
      <c r="D164" s="25">
        <v>152</v>
      </c>
      <c r="J164" s="5" t="s">
        <v>136</v>
      </c>
      <c r="K164" s="5" t="s">
        <v>137</v>
      </c>
      <c r="L164" s="5"/>
    </row>
    <row r="165" spans="2:12" ht="16.5" x14ac:dyDescent="0.35">
      <c r="B165" s="5" t="s">
        <v>343</v>
      </c>
      <c r="C165" s="21" t="s">
        <v>31</v>
      </c>
      <c r="D165" s="24">
        <v>7.0000000000000007E-2</v>
      </c>
      <c r="J165" s="5" t="s">
        <v>136</v>
      </c>
      <c r="K165" s="5" t="s">
        <v>137</v>
      </c>
      <c r="L165" s="5"/>
    </row>
    <row r="166" spans="2:12" ht="16.5" x14ac:dyDescent="0.35">
      <c r="B166" s="29" t="s">
        <v>344</v>
      </c>
      <c r="C166" s="26" t="s">
        <v>22</v>
      </c>
      <c r="D166" s="37">
        <v>0.8</v>
      </c>
      <c r="E166" s="27"/>
      <c r="F166" s="27"/>
      <c r="G166" s="27"/>
      <c r="H166" s="27"/>
      <c r="I166" s="27"/>
      <c r="J166" s="29" t="s">
        <v>340</v>
      </c>
      <c r="K166" s="29" t="s">
        <v>137</v>
      </c>
      <c r="L166" s="29"/>
    </row>
  </sheetData>
  <mergeCells count="1">
    <mergeCell ref="B21:L21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29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345</v>
      </c>
    </row>
    <row r="2" spans="2:10" ht="16.5" x14ac:dyDescent="0.35">
      <c r="B2" s="21" t="s">
        <v>346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348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71</v>
      </c>
      <c r="C6" s="21" t="s">
        <v>31</v>
      </c>
      <c r="F6" s="38">
        <f>前提!F8</f>
        <v>0.06</v>
      </c>
      <c r="G6" s="38">
        <f>前提!G8</f>
        <v>0.06</v>
      </c>
      <c r="H6" s="38">
        <f>前提!H8</f>
        <v>0.05</v>
      </c>
      <c r="I6" s="38">
        <f>前提!I8</f>
        <v>0.05</v>
      </c>
      <c r="J6" s="5" t="s">
        <v>349</v>
      </c>
    </row>
    <row r="7" spans="2:10" ht="16.5" x14ac:dyDescent="0.35">
      <c r="B7" s="21" t="s">
        <v>350</v>
      </c>
      <c r="C7" s="21" t="s">
        <v>31</v>
      </c>
      <c r="F7" s="38">
        <f>前提!F9</f>
        <v>0.218</v>
      </c>
      <c r="G7" s="38">
        <f>前提!G9</f>
        <v>0.14099999999999999</v>
      </c>
      <c r="H7" s="38">
        <f>前提!H9</f>
        <v>0.05</v>
      </c>
      <c r="I7" s="38">
        <f>前提!I9</f>
        <v>0.03</v>
      </c>
      <c r="J7" s="5" t="s">
        <v>351</v>
      </c>
    </row>
    <row r="8" spans="2:10" ht="16.5" x14ac:dyDescent="0.35">
      <c r="B8" s="21" t="s">
        <v>352</v>
      </c>
      <c r="C8" s="21" t="s">
        <v>31</v>
      </c>
      <c r="F8" s="38">
        <f>F6+前提!$D$61*F7</f>
        <v>0.11449999999999999</v>
      </c>
      <c r="G8" s="38">
        <f>G6+前提!$D$61*G7</f>
        <v>9.5250000000000001E-2</v>
      </c>
      <c r="H8" s="38">
        <f>H6+前提!$D$61*H7</f>
        <v>6.25E-2</v>
      </c>
      <c r="I8" s="38">
        <f>I6+前提!$D$61*I7</f>
        <v>5.7500000000000002E-2</v>
      </c>
      <c r="J8" s="5" t="s">
        <v>353</v>
      </c>
    </row>
    <row r="9" spans="2:10" ht="16.5" x14ac:dyDescent="0.35">
      <c r="B9" s="21" t="s">
        <v>354</v>
      </c>
      <c r="C9" s="21" t="s">
        <v>179</v>
      </c>
      <c r="E9" s="39">
        <f>前提!$D$62</f>
        <v>1</v>
      </c>
      <c r="F9" s="40">
        <f>E9*(1+F8)</f>
        <v>1.1145</v>
      </c>
      <c r="G9" s="40">
        <f>F9*(1+G8)</f>
        <v>1.2206561250000001</v>
      </c>
      <c r="H9" s="40">
        <f>G9*(1+H8)</f>
        <v>1.2969471328125002</v>
      </c>
      <c r="I9" s="40">
        <f>H9*(1+I8)</f>
        <v>1.371521592949219</v>
      </c>
      <c r="J9" s="5" t="s">
        <v>355</v>
      </c>
    </row>
    <row r="10" spans="2:10" ht="33" x14ac:dyDescent="0.35">
      <c r="B10" s="21" t="s">
        <v>356</v>
      </c>
      <c r="C10" s="21" t="s">
        <v>179</v>
      </c>
      <c r="E10" s="39">
        <f>前提!$D$62+IF(前提!E$6&gt;=前提!$D$64,前提!$D$63,0)+IF(前提!E$6=前提!$D$66,前提!$D$65*前提!$D$67,IF(前提!E$6&gt;前提!$D$66,前提!$D$65,0))</f>
        <v>1</v>
      </c>
      <c r="F10" s="39">
        <f>前提!$D$62+IF(前提!F$6&gt;=前提!$D$64,前提!$D$63,0)+IF(前提!F$6=前提!$D$66,前提!$D$65*前提!$D$67,IF(前提!F$6&gt;前提!$D$66,前提!$D$65,0))</f>
        <v>1.05</v>
      </c>
      <c r="G10" s="39">
        <f>前提!$D$62+IF(前提!G$6&gt;=前提!$D$64,前提!$D$63,0)+IF(前提!G$6=前提!$D$66,前提!$D$65*前提!$D$67,IF(前提!G$6&gt;前提!$D$66,前提!$D$65,0))</f>
        <v>1.2250000000000001</v>
      </c>
      <c r="H10" s="39">
        <f>前提!$D$62+IF(前提!H$6&gt;=前提!$D$64,前提!$D$63,0)+IF(前提!H$6=前提!$D$66,前提!$D$65*前提!$D$67,IF(前提!H$6&gt;前提!$D$66,前提!$D$65,0))</f>
        <v>1.4</v>
      </c>
      <c r="I10" s="39">
        <f>前提!$D$62+IF(前提!I$6&gt;=前提!$D$64,前提!$D$63,0)+IF(前提!I$6=前提!$D$66,前提!$D$65*前提!$D$67,IF(前提!I$6&gt;前提!$D$66,前提!$D$65,0))</f>
        <v>1.4</v>
      </c>
      <c r="J10" s="5" t="s">
        <v>357</v>
      </c>
    </row>
    <row r="11" spans="2:10" ht="16.5" x14ac:dyDescent="0.35">
      <c r="B11" s="21" t="s">
        <v>358</v>
      </c>
      <c r="C11" s="21" t="s">
        <v>179</v>
      </c>
      <c r="E11" s="40">
        <f>MIN(E9,E10)</f>
        <v>1</v>
      </c>
      <c r="F11" s="40">
        <f>MIN(F9,F10)</f>
        <v>1.05</v>
      </c>
      <c r="G11" s="40">
        <f>MIN(G9,G10)</f>
        <v>1.2206561250000001</v>
      </c>
      <c r="H11" s="40">
        <f>MIN(H9,H10)</f>
        <v>1.2969471328125002</v>
      </c>
      <c r="I11" s="40">
        <f>MIN(I9,I10)</f>
        <v>1.371521592949219</v>
      </c>
      <c r="J11" s="5" t="s">
        <v>359</v>
      </c>
    </row>
    <row r="12" spans="2:10" ht="16.5" x14ac:dyDescent="0.35">
      <c r="B12" s="21" t="s">
        <v>360</v>
      </c>
      <c r="C12" s="21" t="s">
        <v>179</v>
      </c>
      <c r="E12" s="39">
        <f>(1+前提!$D$68)^(前提!E$6-前提!E$6)</f>
        <v>1</v>
      </c>
      <c r="F12" s="39">
        <f>(1+前提!$D$68)^(前提!F$6-前提!E$6)</f>
        <v>1.04</v>
      </c>
      <c r="G12" s="39">
        <f>(1+前提!$D$68)^(前提!G$6-前提!E$6)</f>
        <v>1.0816000000000001</v>
      </c>
      <c r="H12" s="39">
        <f>(1+前提!$D$68)^(前提!H$6-前提!E$6)</f>
        <v>1.1248640000000001</v>
      </c>
      <c r="I12" s="39">
        <f>(1+前提!$D$68)^(前提!I$6-前提!E$6)</f>
        <v>1.1698585600000002</v>
      </c>
      <c r="J12" s="5" t="s">
        <v>361</v>
      </c>
    </row>
    <row r="13" spans="2:10" ht="16.5" x14ac:dyDescent="0.35">
      <c r="B13" s="21" t="s">
        <v>362</v>
      </c>
      <c r="C13" s="21" t="s">
        <v>28</v>
      </c>
      <c r="E13" s="41">
        <f>前提!$D$28*E11*E12</f>
        <v>70</v>
      </c>
      <c r="F13" s="41">
        <f>前提!$D$28*F11*F12</f>
        <v>76.44</v>
      </c>
      <c r="G13" s="41">
        <f>前提!$D$28*G11*G12</f>
        <v>92.41831653600002</v>
      </c>
      <c r="H13" s="41">
        <f>前提!$D$28*H11*H12</f>
        <v>102.12223977228003</v>
      </c>
      <c r="I13" s="41">
        <f>前提!$D$28*I11*I12</f>
        <v>112.31403930155359</v>
      </c>
      <c r="J13" s="5" t="s">
        <v>363</v>
      </c>
    </row>
    <row r="14" spans="2:10" ht="16.5" x14ac:dyDescent="0.35">
      <c r="B14" s="21" t="s">
        <v>364</v>
      </c>
      <c r="C14" s="21" t="s">
        <v>28</v>
      </c>
      <c r="E14" s="41">
        <f>前提!$D$28*(1+前提!$D$60)^(前提!E$6-前提!E$6)</f>
        <v>70</v>
      </c>
      <c r="F14" s="41">
        <f>前提!$D$28*(1+前提!$D$60)^(前提!F$6-前提!E$6)</f>
        <v>75.39</v>
      </c>
      <c r="G14" s="41">
        <f>前提!$D$28*(1+前提!$D$60)^(前提!G$6-前提!E$6)</f>
        <v>81.195030000000003</v>
      </c>
      <c r="H14" s="41">
        <f>前提!$D$28*(1+前提!$D$60)^(前提!H$6-前提!E$6)</f>
        <v>87.447047310000002</v>
      </c>
      <c r="I14" s="41">
        <f>前提!$D$28*(1+前提!$D$60)^(前提!I$6-前提!E$6)</f>
        <v>94.180469952869998</v>
      </c>
      <c r="J14" s="5" t="s">
        <v>365</v>
      </c>
    </row>
    <row r="15" spans="2:10" ht="16.5" x14ac:dyDescent="0.35">
      <c r="B15" s="42" t="s">
        <v>366</v>
      </c>
      <c r="C15" s="21" t="s">
        <v>28</v>
      </c>
      <c r="E15" s="43">
        <f>E13-E14</f>
        <v>0</v>
      </c>
      <c r="F15" s="43">
        <f>F13-F14</f>
        <v>1.0499999999999972</v>
      </c>
      <c r="G15" s="43">
        <f>G13-G14</f>
        <v>11.223286536000018</v>
      </c>
      <c r="H15" s="43">
        <f>H13-H14</f>
        <v>14.675192462280023</v>
      </c>
      <c r="I15" s="43">
        <f>I13-I14</f>
        <v>18.133569348683594</v>
      </c>
    </row>
    <row r="16" spans="2:10" ht="16.5" x14ac:dyDescent="0.35">
      <c r="B16" s="42" t="s">
        <v>367</v>
      </c>
      <c r="C16" s="21" t="s">
        <v>28</v>
      </c>
      <c r="E16" s="44">
        <f>E15*前提!$D$69</f>
        <v>0</v>
      </c>
      <c r="F16" s="44">
        <f>F15*前提!$D$69</f>
        <v>0.47249999999999875</v>
      </c>
      <c r="G16" s="44">
        <f>G15*前提!$D$69</f>
        <v>5.0504789412000077</v>
      </c>
      <c r="H16" s="44">
        <f>H15*前提!$D$69</f>
        <v>6.6038366080260102</v>
      </c>
      <c r="I16" s="44">
        <f>I15*前提!$D$69</f>
        <v>8.1601062069076171</v>
      </c>
      <c r="J16" s="5" t="s">
        <v>368</v>
      </c>
    </row>
    <row r="17" spans="2:10" ht="16.5" x14ac:dyDescent="0.35">
      <c r="B17" s="21" t="s">
        <v>369</v>
      </c>
      <c r="C17" s="21" t="s">
        <v>28</v>
      </c>
      <c r="E17" s="41">
        <f>MAX(0,E9-E10)*前提!$D$28*E12</f>
        <v>0</v>
      </c>
      <c r="F17" s="41">
        <f>MAX(0,F9-F10)*前提!$D$28*F12</f>
        <v>4.6956000000000007</v>
      </c>
      <c r="G17" s="41">
        <f>MAX(0,G9-G10)*前提!$D$28*G12</f>
        <v>0</v>
      </c>
      <c r="H17" s="41">
        <f>MAX(0,H9-H10)*前提!$D$28*H12</f>
        <v>0</v>
      </c>
      <c r="I17" s="41">
        <f>MAX(0,I9-I10)*前提!$D$28*I12</f>
        <v>0</v>
      </c>
    </row>
    <row r="18" spans="2:10" ht="16.5" x14ac:dyDescent="0.35">
      <c r="B18" s="21" t="s">
        <v>370</v>
      </c>
      <c r="C18" s="21" t="s">
        <v>28</v>
      </c>
      <c r="E18" s="41">
        <f>E13*前提!$D$59</f>
        <v>14</v>
      </c>
      <c r="F18" s="41">
        <f>F13*前提!$D$59</f>
        <v>15.288</v>
      </c>
      <c r="G18" s="41">
        <f>G13*前提!$D$59</f>
        <v>18.483663307200004</v>
      </c>
      <c r="H18" s="41">
        <f>H13*前提!$D$59</f>
        <v>20.424447954456006</v>
      </c>
      <c r="I18" s="41">
        <f>I13*前提!$D$59</f>
        <v>22.462807860310718</v>
      </c>
    </row>
    <row r="20" spans="2:10" ht="20.100000000000001" customHeight="1" x14ac:dyDescent="0.35">
      <c r="B20" s="22" t="s">
        <v>371</v>
      </c>
      <c r="C20" s="4"/>
      <c r="D20" s="4"/>
      <c r="E20" s="4"/>
      <c r="F20" s="4"/>
      <c r="G20" s="4"/>
      <c r="H20" s="4"/>
      <c r="I20" s="4"/>
      <c r="J20" s="4"/>
    </row>
    <row r="21" spans="2:10" ht="16.5" x14ac:dyDescent="0.35">
      <c r="B21" s="21" t="s">
        <v>196</v>
      </c>
      <c r="C21" s="21" t="s">
        <v>31</v>
      </c>
      <c r="F21" s="38">
        <f>IF(前提!F$6&gt;=前提!$D$75,前提!$D$74,0)</f>
        <v>0.03</v>
      </c>
      <c r="G21" s="38">
        <f>IF(前提!G$6&gt;=前提!$D$75,前提!$D$74,0)</f>
        <v>0.03</v>
      </c>
      <c r="H21" s="38">
        <f>IF(前提!H$6&gt;=前提!$D$75,前提!$D$74,0)</f>
        <v>0.03</v>
      </c>
      <c r="I21" s="38">
        <f>IF(前提!I$6&gt;=前提!$D$75,前提!$D$74,0)</f>
        <v>0.03</v>
      </c>
      <c r="J21" s="5" t="s">
        <v>372</v>
      </c>
    </row>
    <row r="22" spans="2:10" ht="16.5" x14ac:dyDescent="0.35">
      <c r="B22" s="21" t="s">
        <v>373</v>
      </c>
      <c r="C22" s="21" t="s">
        <v>31</v>
      </c>
      <c r="F22" s="38">
        <f>F6+F21+前提!$D$76*F7</f>
        <v>0.1336</v>
      </c>
      <c r="G22" s="38">
        <f>G6+G21+前提!$D$76*G7</f>
        <v>0.1182</v>
      </c>
      <c r="H22" s="38">
        <f>H6+H21+前提!$D$76*H7</f>
        <v>0.09</v>
      </c>
      <c r="I22" s="38">
        <f>I6+I21+前提!$D$76*I7</f>
        <v>8.6000000000000007E-2</v>
      </c>
      <c r="J22" s="5" t="s">
        <v>374</v>
      </c>
    </row>
    <row r="23" spans="2:10" ht="16.5" x14ac:dyDescent="0.35">
      <c r="B23" s="21" t="s">
        <v>362</v>
      </c>
      <c r="C23" s="21" t="s">
        <v>28</v>
      </c>
      <c r="E23" s="41">
        <f>前提!$D$29</f>
        <v>120</v>
      </c>
      <c r="F23" s="45">
        <f>E23*(1+F22)</f>
        <v>136.03199999999998</v>
      </c>
      <c r="G23" s="45">
        <f>F23*(1+G22)</f>
        <v>152.11098239999998</v>
      </c>
      <c r="H23" s="45">
        <f>G23*(1+H22)</f>
        <v>165.80097081599999</v>
      </c>
      <c r="I23" s="45">
        <f>H23*(1+I22)</f>
        <v>180.05985430617599</v>
      </c>
    </row>
    <row r="24" spans="2:10" ht="16.5" x14ac:dyDescent="0.35">
      <c r="B24" s="21" t="s">
        <v>364</v>
      </c>
      <c r="C24" s="21" t="s">
        <v>28</v>
      </c>
      <c r="E24" s="41">
        <f>前提!$D$29*(1+前提!$D$73)^(前提!E$6-前提!E$6)</f>
        <v>120</v>
      </c>
      <c r="F24" s="41">
        <f>前提!$D$29*(1+前提!$D$73)^(前提!F$6-前提!E$6)</f>
        <v>128.4</v>
      </c>
      <c r="G24" s="41">
        <f>前提!$D$29*(1+前提!$D$73)^(前提!G$6-前提!E$6)</f>
        <v>137.38800000000001</v>
      </c>
      <c r="H24" s="41">
        <f>前提!$D$29*(1+前提!$D$73)^(前提!H$6-前提!E$6)</f>
        <v>147.00516000000002</v>
      </c>
      <c r="I24" s="41">
        <f>前提!$D$29*(1+前提!$D$73)^(前提!I$6-前提!E$6)</f>
        <v>157.2955212</v>
      </c>
      <c r="J24" s="5" t="s">
        <v>375</v>
      </c>
    </row>
    <row r="25" spans="2:10" ht="16.5" x14ac:dyDescent="0.35">
      <c r="B25" s="42" t="s">
        <v>366</v>
      </c>
      <c r="C25" s="21" t="s">
        <v>28</v>
      </c>
      <c r="E25" s="43">
        <f>E23-E24</f>
        <v>0</v>
      </c>
      <c r="F25" s="43">
        <f>F23-F24</f>
        <v>7.6319999999999766</v>
      </c>
      <c r="G25" s="43">
        <f>G23-G24</f>
        <v>14.722982399999978</v>
      </c>
      <c r="H25" s="43">
        <f>H23-H24</f>
        <v>18.795810815999971</v>
      </c>
      <c r="I25" s="43">
        <f>I23-I24</f>
        <v>22.764333106175997</v>
      </c>
    </row>
    <row r="26" spans="2:10" ht="16.5" x14ac:dyDescent="0.35">
      <c r="B26" s="42" t="s">
        <v>367</v>
      </c>
      <c r="C26" s="21" t="s">
        <v>28</v>
      </c>
      <c r="E26" s="44">
        <f>E25*前提!$D$77</f>
        <v>0</v>
      </c>
      <c r="F26" s="44">
        <f>F25*前提!$D$77</f>
        <v>2.6711999999999918</v>
      </c>
      <c r="G26" s="44">
        <f>G25*前提!$D$77</f>
        <v>5.1530438399999916</v>
      </c>
      <c r="H26" s="44">
        <f>H25*前提!$D$77</f>
        <v>6.5785337855999897</v>
      </c>
      <c r="I26" s="44">
        <f>I25*前提!$D$77</f>
        <v>7.9675165871615983</v>
      </c>
      <c r="J26" s="5" t="s">
        <v>376</v>
      </c>
    </row>
    <row r="27" spans="2:10" ht="16.5" x14ac:dyDescent="0.35">
      <c r="B27" s="21" t="s">
        <v>377</v>
      </c>
      <c r="C27" s="21" t="s">
        <v>28</v>
      </c>
      <c r="E27" s="41">
        <f>E23*前提!$D$72</f>
        <v>18</v>
      </c>
      <c r="F27" s="41">
        <f>F23*前提!$D$72</f>
        <v>20.404799999999998</v>
      </c>
      <c r="G27" s="41">
        <f>G23*前提!$D$72</f>
        <v>22.816647359999997</v>
      </c>
      <c r="H27" s="41">
        <f>H23*前提!$D$72</f>
        <v>24.870145622399999</v>
      </c>
      <c r="I27" s="41">
        <f>I23*前提!$D$72</f>
        <v>27.008978145926399</v>
      </c>
    </row>
    <row r="28" spans="2:10" ht="36.950000000000003" customHeight="1" x14ac:dyDescent="0.15">
      <c r="B28" s="72" t="s">
        <v>378</v>
      </c>
      <c r="C28" s="73"/>
      <c r="D28" s="73"/>
      <c r="E28" s="73"/>
      <c r="F28" s="73"/>
      <c r="G28" s="73"/>
      <c r="H28" s="73"/>
      <c r="I28" s="73"/>
    </row>
    <row r="29" spans="2:10" ht="17.100000000000001" customHeight="1" x14ac:dyDescent="0.15">
      <c r="B29" s="72" t="s">
        <v>379</v>
      </c>
      <c r="C29" s="73"/>
      <c r="D29" s="73"/>
      <c r="E29" s="73"/>
      <c r="F29" s="73"/>
      <c r="G29" s="73"/>
      <c r="H29" s="73"/>
      <c r="I29" s="73"/>
    </row>
  </sheetData>
  <mergeCells count="2">
    <mergeCell ref="B28:I28"/>
    <mergeCell ref="B29:I29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1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380</v>
      </c>
    </row>
    <row r="2" spans="2:10" ht="16.5" x14ac:dyDescent="0.35">
      <c r="B2" s="21" t="s">
        <v>381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16.5" x14ac:dyDescent="0.35">
      <c r="B5" s="21" t="s">
        <v>382</v>
      </c>
      <c r="C5" s="21" t="s">
        <v>26</v>
      </c>
      <c r="E5" s="46">
        <f>前提!E10</f>
        <v>1500</v>
      </c>
      <c r="F5" s="46">
        <f>前提!F10</f>
        <v>2500</v>
      </c>
      <c r="G5" s="46">
        <f>前提!G10</f>
        <v>2500</v>
      </c>
      <c r="H5" s="46">
        <f>前提!H10</f>
        <v>2500</v>
      </c>
      <c r="I5" s="46">
        <f>前提!I10</f>
        <v>2500</v>
      </c>
      <c r="J5" s="5" t="s">
        <v>383</v>
      </c>
    </row>
    <row r="6" spans="2:10" ht="16.5" x14ac:dyDescent="0.35">
      <c r="B6" s="21" t="s">
        <v>384</v>
      </c>
      <c r="C6" s="21" t="s">
        <v>26</v>
      </c>
      <c r="E6" s="46">
        <f>前提!$D$80</f>
        <v>1500</v>
      </c>
      <c r="F6" s="46">
        <f>前提!$D$80</f>
        <v>1500</v>
      </c>
      <c r="G6" s="46">
        <f>前提!$D$80</f>
        <v>1500</v>
      </c>
      <c r="H6" s="46">
        <f>前提!$D$80</f>
        <v>1500</v>
      </c>
      <c r="I6" s="46">
        <f>前提!$D$80</f>
        <v>1500</v>
      </c>
      <c r="J6" s="5" t="s">
        <v>120</v>
      </c>
    </row>
    <row r="7" spans="2:10" ht="16.5" x14ac:dyDescent="0.35">
      <c r="B7" s="21" t="s">
        <v>385</v>
      </c>
      <c r="C7" s="21" t="s">
        <v>386</v>
      </c>
      <c r="E7" s="39">
        <f>前提!$D$27/10000</f>
        <v>0.1</v>
      </c>
      <c r="F7" s="39">
        <f>前提!$D$27/10000</f>
        <v>0.1</v>
      </c>
      <c r="G7" s="39">
        <f>前提!$D$27/10000</f>
        <v>0.1</v>
      </c>
      <c r="H7" s="39">
        <f>前提!$D$27/10000</f>
        <v>0.1</v>
      </c>
      <c r="I7" s="39">
        <f>前提!$D$27/10000</f>
        <v>0.1</v>
      </c>
      <c r="J7" s="5" t="s">
        <v>387</v>
      </c>
    </row>
    <row r="8" spans="2:10" ht="16.5" x14ac:dyDescent="0.35">
      <c r="B8" s="21" t="s">
        <v>388</v>
      </c>
      <c r="C8" s="21" t="s">
        <v>28</v>
      </c>
      <c r="E8" s="45">
        <f>E5*E7</f>
        <v>150</v>
      </c>
      <c r="F8" s="45">
        <f>F5*F7</f>
        <v>250</v>
      </c>
      <c r="G8" s="45">
        <f>G5*G7</f>
        <v>250</v>
      </c>
      <c r="H8" s="45">
        <f>H5*H7</f>
        <v>250</v>
      </c>
      <c r="I8" s="45">
        <f>I5*I7</f>
        <v>250</v>
      </c>
    </row>
    <row r="9" spans="2:10" ht="16.5" x14ac:dyDescent="0.35">
      <c r="B9" s="42" t="s">
        <v>389</v>
      </c>
      <c r="C9" s="21" t="s">
        <v>28</v>
      </c>
      <c r="E9" s="43">
        <f>(E5-E6)*E7</f>
        <v>0</v>
      </c>
      <c r="F9" s="43">
        <f>(F5-F6)*F7</f>
        <v>100</v>
      </c>
      <c r="G9" s="43">
        <f>(G5-G6)*G7</f>
        <v>100</v>
      </c>
      <c r="H9" s="43">
        <f>(H5-H6)*H7</f>
        <v>100</v>
      </c>
      <c r="I9" s="43">
        <f>(I5-I6)*I7</f>
        <v>100</v>
      </c>
    </row>
    <row r="10" spans="2:10" ht="16.5" x14ac:dyDescent="0.35">
      <c r="B10" s="47" t="s">
        <v>390</v>
      </c>
      <c r="C10" s="26" t="s">
        <v>28</v>
      </c>
      <c r="D10" s="27"/>
      <c r="E10" s="48">
        <f>E9*前提!$D$81</f>
        <v>0</v>
      </c>
      <c r="F10" s="48">
        <f>F9*前提!$D$81</f>
        <v>15</v>
      </c>
      <c r="G10" s="48">
        <f>G9*前提!$D$81</f>
        <v>15</v>
      </c>
      <c r="H10" s="48">
        <f>H9*前提!$D$81</f>
        <v>15</v>
      </c>
      <c r="I10" s="48">
        <f>I9*前提!$D$81</f>
        <v>15</v>
      </c>
      <c r="J10" s="29" t="s">
        <v>391</v>
      </c>
    </row>
    <row r="11" spans="2:10" ht="17.100000000000001" customHeight="1" x14ac:dyDescent="0.15">
      <c r="B11" s="72" t="s">
        <v>392</v>
      </c>
      <c r="C11" s="73"/>
      <c r="D11" s="73"/>
      <c r="E11" s="73"/>
      <c r="F11" s="73"/>
      <c r="G11" s="73"/>
      <c r="H11" s="73"/>
      <c r="I11" s="73"/>
    </row>
  </sheetData>
  <mergeCells count="1">
    <mergeCell ref="B11:I11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1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393</v>
      </c>
    </row>
    <row r="2" spans="2:10" ht="16.5" x14ac:dyDescent="0.35">
      <c r="B2" s="21" t="s">
        <v>394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16.5" x14ac:dyDescent="0.35">
      <c r="B5" s="21" t="s">
        <v>395</v>
      </c>
      <c r="C5" s="21" t="s">
        <v>28</v>
      </c>
      <c r="E5" s="46">
        <f>前提!E12</f>
        <v>-50</v>
      </c>
      <c r="F5" s="46">
        <f>前提!F12</f>
        <v>-150</v>
      </c>
      <c r="G5" s="46">
        <f>前提!G12</f>
        <v>-110</v>
      </c>
      <c r="H5" s="46">
        <f>前提!H12</f>
        <v>-90</v>
      </c>
      <c r="I5" s="46">
        <f>前提!I12</f>
        <v>-80</v>
      </c>
      <c r="J5" s="5" t="s">
        <v>69</v>
      </c>
    </row>
    <row r="6" spans="2:10" ht="16.5" x14ac:dyDescent="0.35">
      <c r="B6" s="21" t="s">
        <v>396</v>
      </c>
      <c r="C6" s="21" t="s">
        <v>397</v>
      </c>
      <c r="E6" s="49">
        <f>前提!$D$85/前提!$D$86</f>
        <v>9.3993453355155481</v>
      </c>
      <c r="F6" s="49">
        <f>前提!$D$85/前提!$D$86</f>
        <v>9.3993453355155481</v>
      </c>
      <c r="G6" s="49">
        <f>前提!$D$85/前提!$D$86</f>
        <v>9.3993453355155481</v>
      </c>
      <c r="H6" s="49">
        <f>前提!$D$85/前提!$D$86</f>
        <v>9.3993453355155481</v>
      </c>
      <c r="I6" s="49">
        <f>前提!$D$85/前提!$D$86</f>
        <v>9.3993453355155481</v>
      </c>
      <c r="J6" s="5" t="s">
        <v>398</v>
      </c>
    </row>
    <row r="7" spans="2:10" ht="16.5" x14ac:dyDescent="0.35">
      <c r="B7" s="21" t="s">
        <v>399</v>
      </c>
      <c r="C7" s="21" t="s">
        <v>400</v>
      </c>
      <c r="E7" s="49">
        <f>前提!$D$84*0.01*E6*前提!$D$87</f>
        <v>5.0613594762684126</v>
      </c>
      <c r="F7" s="49">
        <f>前提!$D$84*0.01*F6*前提!$D$87</f>
        <v>5.0613594762684126</v>
      </c>
      <c r="G7" s="49">
        <f>前提!$D$84*0.01*G6*前提!$D$87</f>
        <v>5.0613594762684126</v>
      </c>
      <c r="H7" s="49">
        <f>前提!$D$84*0.01*H6*前提!$D$87</f>
        <v>5.0613594762684126</v>
      </c>
      <c r="I7" s="49">
        <f>前提!$D$84*0.01*I6*前提!$D$87</f>
        <v>5.0613594762684126</v>
      </c>
      <c r="J7" s="5" t="s">
        <v>401</v>
      </c>
    </row>
    <row r="8" spans="2:10" ht="16.5" x14ac:dyDescent="0.35">
      <c r="B8" s="21" t="s">
        <v>402</v>
      </c>
      <c r="C8" s="21" t="s">
        <v>28</v>
      </c>
      <c r="E8" s="41">
        <f>IF(前提!E$6&gt;=前提!$D$89,前提!$D$88*E7,0)</f>
        <v>0</v>
      </c>
      <c r="F8" s="41">
        <f>IF(前提!F$6&gt;=前提!$D$89,前提!$D$88*F7,0)</f>
        <v>30.368156857610476</v>
      </c>
      <c r="G8" s="41">
        <f>IF(前提!G$6&gt;=前提!$D$89,前提!$D$88*G7,0)</f>
        <v>30.368156857610476</v>
      </c>
      <c r="H8" s="41">
        <f>IF(前提!H$6&gt;=前提!$D$89,前提!$D$88*H7,0)</f>
        <v>30.368156857610476</v>
      </c>
      <c r="I8" s="41">
        <f>IF(前提!I$6&gt;=前提!$D$89,前提!$D$88*I7,0)</f>
        <v>30.368156857610476</v>
      </c>
      <c r="J8" s="5" t="s">
        <v>403</v>
      </c>
    </row>
    <row r="9" spans="2:10" ht="16.5" x14ac:dyDescent="0.35">
      <c r="B9" s="21" t="s">
        <v>404</v>
      </c>
      <c r="C9" s="21" t="s">
        <v>28</v>
      </c>
      <c r="E9" s="41">
        <f>IF(前提!E$6&gt;=前提!$D$94,前提!$D$90*前提!$D$91,0)</f>
        <v>0</v>
      </c>
      <c r="F9" s="41">
        <f>IF(前提!F$6&gt;=前提!$D$94,前提!$D$90*前提!$D$91,0)</f>
        <v>0</v>
      </c>
      <c r="G9" s="41">
        <f>IF(前提!G$6&gt;=前提!$D$94,前提!$D$90*前提!$D$91,0)</f>
        <v>0</v>
      </c>
      <c r="H9" s="41">
        <f>IF(前提!H$6&gt;=前提!$D$94,前提!$D$90*前提!$D$91,0)</f>
        <v>0</v>
      </c>
      <c r="I9" s="41">
        <f>IF(前提!I$6&gt;=前提!$D$94,前提!$D$90*前提!$D$91,0)</f>
        <v>80</v>
      </c>
      <c r="J9" s="5" t="s">
        <v>405</v>
      </c>
    </row>
    <row r="10" spans="2:10" ht="16.5" x14ac:dyDescent="0.35">
      <c r="B10" s="21" t="s">
        <v>406</v>
      </c>
      <c r="C10" s="21" t="s">
        <v>28</v>
      </c>
      <c r="E10" s="41">
        <f>IF(前提!E$6&gt;=前提!$D$94,前提!$D$92*E7,0)</f>
        <v>0</v>
      </c>
      <c r="F10" s="41">
        <f>IF(前提!F$6&gt;=前提!$D$94,前提!$D$92*F7,0)</f>
        <v>0</v>
      </c>
      <c r="G10" s="41">
        <f>IF(前提!G$6&gt;=前提!$D$94,前提!$D$92*G7,0)</f>
        <v>0</v>
      </c>
      <c r="H10" s="41">
        <f>IF(前提!H$6&gt;=前提!$D$94,前提!$D$92*H7,0)</f>
        <v>0</v>
      </c>
      <c r="I10" s="41">
        <f>IF(前提!I$6&gt;=前提!$D$94,前提!$D$92*I7,0)</f>
        <v>20.245437905073651</v>
      </c>
      <c r="J10" s="5" t="s">
        <v>407</v>
      </c>
    </row>
    <row r="11" spans="2:10" ht="16.5" x14ac:dyDescent="0.35">
      <c r="B11" s="21" t="s">
        <v>408</v>
      </c>
      <c r="C11" s="21" t="s">
        <v>28</v>
      </c>
      <c r="E11" s="41">
        <f>IF(前提!E$6&gt;=前提!$D$94,-前提!$D$84*前提!$D$93*E6*前提!$D$87,0)</f>
        <v>0</v>
      </c>
      <c r="F11" s="41">
        <f>IF(前提!F$6&gt;=前提!$D$94,-前提!$D$84*前提!$D$93*F6*前提!$D$87,0)</f>
        <v>0</v>
      </c>
      <c r="G11" s="41">
        <f>IF(前提!G$6&gt;=前提!$D$94,-前提!$D$84*前提!$D$93*G6*前提!$D$87,0)</f>
        <v>0</v>
      </c>
      <c r="H11" s="41">
        <f>IF(前提!H$6&gt;=前提!$D$94,-前提!$D$84*前提!$D$93*H6*前提!$D$87,0)</f>
        <v>0</v>
      </c>
      <c r="I11" s="41">
        <f>IF(前提!I$6&gt;=前提!$D$94,-前提!$D$84*前提!$D$93*I6*前提!$D$87,0)</f>
        <v>-35.429516333878894</v>
      </c>
      <c r="J11" s="5" t="s">
        <v>409</v>
      </c>
    </row>
    <row r="12" spans="2:10" ht="16.5" x14ac:dyDescent="0.35">
      <c r="B12" s="21" t="s">
        <v>410</v>
      </c>
      <c r="C12" s="21" t="s">
        <v>28</v>
      </c>
      <c r="E12" s="45">
        <f>E9+E10+E11</f>
        <v>0</v>
      </c>
      <c r="F12" s="45">
        <f>F9+F10+F11</f>
        <v>0</v>
      </c>
      <c r="G12" s="45">
        <f>G9+G10+G11</f>
        <v>0</v>
      </c>
      <c r="H12" s="45">
        <f>H9+H10+H11</f>
        <v>0</v>
      </c>
      <c r="I12" s="45">
        <f>I9+I10+I11</f>
        <v>64.815921571194764</v>
      </c>
    </row>
    <row r="13" spans="2:10" ht="16.5" x14ac:dyDescent="0.35">
      <c r="B13" s="42" t="s">
        <v>411</v>
      </c>
      <c r="C13" s="21" t="s">
        <v>28</v>
      </c>
      <c r="E13" s="43">
        <f>E5+E8+E12</f>
        <v>-50</v>
      </c>
      <c r="F13" s="43">
        <f>F5+F8+F12</f>
        <v>-119.63184314238953</v>
      </c>
      <c r="G13" s="43">
        <f>G5+G8+G12</f>
        <v>-79.631843142389528</v>
      </c>
      <c r="H13" s="43">
        <f>H5+H8+H12</f>
        <v>-59.631843142389528</v>
      </c>
      <c r="I13" s="43">
        <f>I5+I8+I12</f>
        <v>15.184078428805236</v>
      </c>
    </row>
    <row r="14" spans="2:10" ht="16.5" x14ac:dyDescent="0.35">
      <c r="B14" s="47" t="s">
        <v>412</v>
      </c>
      <c r="C14" s="26" t="s">
        <v>28</v>
      </c>
      <c r="D14" s="27"/>
      <c r="E14" s="50">
        <f>前提!$D$39</f>
        <v>6830</v>
      </c>
      <c r="F14" s="50">
        <f>E14*(1+前提!F14)+前提!F13</f>
        <v>6330</v>
      </c>
      <c r="G14" s="50">
        <f>F14*(1+前提!G14)+前提!G13</f>
        <v>5830</v>
      </c>
      <c r="H14" s="50">
        <f>G14*(1+前提!H14)+前提!H13</f>
        <v>5713.4</v>
      </c>
      <c r="I14" s="50">
        <f>H14*(1+前提!I14)+前提!I13</f>
        <v>5599.1319999999996</v>
      </c>
      <c r="J14" s="29" t="s">
        <v>413</v>
      </c>
    </row>
    <row r="15" spans="2:10" ht="17.100000000000001" customHeight="1" x14ac:dyDescent="0.15">
      <c r="B15" s="72" t="s">
        <v>414</v>
      </c>
      <c r="C15" s="73"/>
      <c r="D15" s="73"/>
      <c r="E15" s="73"/>
      <c r="F15" s="73"/>
      <c r="G15" s="73"/>
      <c r="H15" s="73"/>
      <c r="I15" s="73"/>
    </row>
    <row r="16" spans="2:10" ht="17.100000000000001" customHeight="1" x14ac:dyDescent="0.15">
      <c r="B16" s="72" t="s">
        <v>415</v>
      </c>
      <c r="C16" s="73"/>
      <c r="D16" s="73"/>
      <c r="E16" s="73"/>
      <c r="F16" s="73"/>
      <c r="G16" s="73"/>
      <c r="H16" s="73"/>
      <c r="I16" s="73"/>
    </row>
  </sheetData>
  <mergeCells count="2">
    <mergeCell ref="B16:I16"/>
    <mergeCell ref="B15:I15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6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416</v>
      </c>
    </row>
    <row r="2" spans="2:10" ht="16.5" x14ac:dyDescent="0.35">
      <c r="B2" s="21" t="s">
        <v>417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418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419</v>
      </c>
      <c r="C6" s="21" t="s">
        <v>28</v>
      </c>
      <c r="E6" s="46">
        <f>前提!$D$149*(1+前提!$D$150)^(前提!E$6-前提!D$6)</f>
        <v>4715.4900000000007</v>
      </c>
      <c r="F6" s="46">
        <f>前提!$D$149*(1+前提!$D$150)^(前提!F$6-前提!D$6)</f>
        <v>5045.5743000000002</v>
      </c>
      <c r="G6" s="46">
        <f>前提!$D$149*(1+前提!$D$150)^(前提!G$6-前提!D$6)</f>
        <v>5398.7645010000006</v>
      </c>
      <c r="H6" s="46">
        <f>前提!$D$149*(1+前提!$D$150)^(前提!H$6-前提!D$6)</f>
        <v>5776.67801607</v>
      </c>
      <c r="I6" s="46">
        <f>前提!$D$149*(1+前提!$D$150)^(前提!I$6-前提!D$6)</f>
        <v>6181.0454771949007</v>
      </c>
      <c r="J6" s="5" t="s">
        <v>420</v>
      </c>
    </row>
    <row r="7" spans="2:10" ht="16.5" x14ac:dyDescent="0.35">
      <c r="B7" s="21" t="s">
        <v>421</v>
      </c>
      <c r="C7" s="21" t="s">
        <v>28</v>
      </c>
      <c r="E7" s="46">
        <f>前提!$D$153*(1+前提!$D$154)^(前提!E$6-前提!D$6)</f>
        <v>2156</v>
      </c>
      <c r="F7" s="46">
        <f>前提!$D$153*(1+前提!$D$154)^(前提!F$6-前提!D$6)</f>
        <v>2371.6000000000004</v>
      </c>
      <c r="G7" s="46">
        <f>前提!$D$153*(1+前提!$D$154)^(前提!G$6-前提!D$6)</f>
        <v>2608.7600000000007</v>
      </c>
      <c r="H7" s="46">
        <f>前提!$D$153*(1+前提!$D$154)^(前提!H$6-前提!D$6)</f>
        <v>2869.6360000000009</v>
      </c>
      <c r="I7" s="46">
        <f>前提!$D$153*(1+前提!$D$154)^(前提!I$6-前提!D$6)</f>
        <v>3156.5996000000009</v>
      </c>
    </row>
    <row r="8" spans="2:10" ht="16.5" x14ac:dyDescent="0.35">
      <c r="B8" s="21" t="s">
        <v>422</v>
      </c>
      <c r="C8" s="21" t="s">
        <v>31</v>
      </c>
      <c r="E8" s="38">
        <f>前提!$D$154</f>
        <v>0.1</v>
      </c>
      <c r="F8" s="38">
        <f>前提!F8+前提!$D$155*前提!F9+前提!$D$156</f>
        <v>0.15629999999999997</v>
      </c>
      <c r="G8" s="38">
        <f>前提!G8+前提!$D$155*前提!G9+前提!$D$156</f>
        <v>0.12934999999999999</v>
      </c>
      <c r="H8" s="38">
        <f>前提!H8+前提!$D$155*前提!H9+前提!$D$156</f>
        <v>8.7500000000000008E-2</v>
      </c>
      <c r="I8" s="38">
        <f>前提!I8+前提!$D$155*前提!I9+前提!$D$156</f>
        <v>8.0500000000000002E-2</v>
      </c>
      <c r="J8" s="5" t="s">
        <v>423</v>
      </c>
    </row>
    <row r="9" spans="2:10" ht="16.5" x14ac:dyDescent="0.35">
      <c r="B9" s="21" t="s">
        <v>424</v>
      </c>
      <c r="C9" s="21" t="s">
        <v>28</v>
      </c>
      <c r="E9" s="46">
        <f>前提!$D$153*(1+E8)</f>
        <v>2156</v>
      </c>
      <c r="F9" s="51">
        <f>E9*(1+F8)</f>
        <v>2492.9827999999998</v>
      </c>
      <c r="G9" s="51">
        <f>F9*(1+G8)</f>
        <v>2815.4501251799998</v>
      </c>
      <c r="H9" s="51">
        <f>G9*(1+H8)</f>
        <v>3061.8020111332494</v>
      </c>
      <c r="I9" s="51">
        <f>H9*(1+I8)</f>
        <v>3308.277073029476</v>
      </c>
    </row>
    <row r="10" spans="2:10" ht="16.5" x14ac:dyDescent="0.35">
      <c r="B10" s="21" t="s">
        <v>425</v>
      </c>
      <c r="C10" s="21" t="s">
        <v>28</v>
      </c>
      <c r="E10" s="45">
        <f>E9-E7</f>
        <v>0</v>
      </c>
      <c r="F10" s="45">
        <f>F9-F7</f>
        <v>121.38279999999941</v>
      </c>
      <c r="G10" s="45">
        <f>G9-G7</f>
        <v>206.69012517999909</v>
      </c>
      <c r="H10" s="45">
        <f>H9-H7</f>
        <v>192.1660111332485</v>
      </c>
      <c r="I10" s="45">
        <f>I9-I7</f>
        <v>151.6774730294751</v>
      </c>
    </row>
    <row r="11" spans="2:10" ht="16.5" x14ac:dyDescent="0.35">
      <c r="B11" s="42" t="s">
        <v>426</v>
      </c>
      <c r="C11" s="21" t="s">
        <v>28</v>
      </c>
      <c r="E11" s="44">
        <f>E10*前提!$D$157</f>
        <v>0</v>
      </c>
      <c r="F11" s="44">
        <f>F10*前提!$D$157</f>
        <v>36.41483999999982</v>
      </c>
      <c r="G11" s="44">
        <f>G10*前提!$D$157</f>
        <v>62.007037553999723</v>
      </c>
      <c r="H11" s="44">
        <f>H10*前提!$D$157</f>
        <v>57.649803339974547</v>
      </c>
      <c r="I11" s="44">
        <f>I10*前提!$D$157</f>
        <v>45.503241908842526</v>
      </c>
      <c r="J11" s="5" t="s">
        <v>427</v>
      </c>
    </row>
    <row r="12" spans="2:10" ht="16.5" x14ac:dyDescent="0.35">
      <c r="B12" s="21" t="s">
        <v>428</v>
      </c>
      <c r="C12" s="21" t="s">
        <v>28</v>
      </c>
      <c r="E12" s="46">
        <f>前提!E20</f>
        <v>600</v>
      </c>
      <c r="F12" s="46">
        <f>前提!F20</f>
        <v>680</v>
      </c>
      <c r="G12" s="46">
        <f>前提!G20</f>
        <v>760</v>
      </c>
      <c r="H12" s="46">
        <f>前提!H20</f>
        <v>840</v>
      </c>
      <c r="I12" s="46">
        <f>前提!I20</f>
        <v>920</v>
      </c>
    </row>
    <row r="13" spans="2:10" ht="16.5" x14ac:dyDescent="0.35">
      <c r="B13" s="42" t="s">
        <v>429</v>
      </c>
      <c r="C13" s="21" t="s">
        <v>28</v>
      </c>
      <c r="E13" s="43">
        <f>E12+E11</f>
        <v>600</v>
      </c>
      <c r="F13" s="43">
        <f>F12+F11</f>
        <v>716.4148399999998</v>
      </c>
      <c r="G13" s="43">
        <f>G12+G11</f>
        <v>822.00703755399968</v>
      </c>
      <c r="H13" s="43">
        <f>H12+H11</f>
        <v>897.6498033399746</v>
      </c>
      <c r="I13" s="43">
        <f>I12+I11</f>
        <v>965.50324190884248</v>
      </c>
    </row>
    <row r="14" spans="2:10" ht="16.5" x14ac:dyDescent="0.35">
      <c r="B14" s="21" t="s">
        <v>430</v>
      </c>
      <c r="C14" s="21" t="s">
        <v>28</v>
      </c>
      <c r="E14" s="51">
        <f>E6+E10</f>
        <v>4715.4900000000007</v>
      </c>
      <c r="F14" s="51">
        <f>F6+F10</f>
        <v>5166.9570999999996</v>
      </c>
      <c r="G14" s="51">
        <f>G6+G10</f>
        <v>5605.4546261799997</v>
      </c>
      <c r="H14" s="51">
        <f>H6+H10</f>
        <v>5968.8440272032485</v>
      </c>
      <c r="I14" s="51">
        <f>I6+I10</f>
        <v>6332.7229502243754</v>
      </c>
      <c r="J14" s="5" t="s">
        <v>431</v>
      </c>
    </row>
    <row r="16" spans="2:10" ht="20.100000000000001" customHeight="1" x14ac:dyDescent="0.35">
      <c r="B16" s="22" t="s">
        <v>432</v>
      </c>
      <c r="C16" s="4"/>
      <c r="D16" s="4"/>
      <c r="E16" s="4"/>
      <c r="F16" s="4"/>
      <c r="G16" s="4"/>
      <c r="H16" s="4"/>
      <c r="I16" s="4"/>
      <c r="J16" s="4"/>
    </row>
    <row r="17" spans="2:10" ht="16.5" x14ac:dyDescent="0.35">
      <c r="B17" s="21" t="s">
        <v>433</v>
      </c>
      <c r="C17" s="21"/>
      <c r="E17" s="52">
        <f>IF(前提!E$6=前提!$D$140,1,0)</f>
        <v>0</v>
      </c>
      <c r="F17" s="52">
        <f>IF(前提!F$6=前提!$D$140,1,0)</f>
        <v>1</v>
      </c>
      <c r="G17" s="52">
        <f>IF(前提!G$6=前提!$D$140,1,0)</f>
        <v>0</v>
      </c>
      <c r="H17" s="52">
        <f>IF(前提!H$6=前提!$D$140,1,0)</f>
        <v>0</v>
      </c>
      <c r="I17" s="52">
        <f>IF(前提!I$6=前提!$D$140,1,0)</f>
        <v>0</v>
      </c>
    </row>
    <row r="18" spans="2:10" ht="16.5" x14ac:dyDescent="0.35">
      <c r="B18" s="21" t="s">
        <v>434</v>
      </c>
      <c r="C18" s="21"/>
      <c r="E18" s="52">
        <f>IF(前提!E$6&gt;=前提!$D$140,1,0)</f>
        <v>0</v>
      </c>
      <c r="F18" s="52">
        <f>IF(前提!F$6&gt;=前提!$D$140,1,0)</f>
        <v>1</v>
      </c>
      <c r="G18" s="52">
        <f>IF(前提!G$6&gt;=前提!$D$140,1,0)</f>
        <v>1</v>
      </c>
      <c r="H18" s="52">
        <f>IF(前提!H$6&gt;=前提!$D$140,1,0)</f>
        <v>1</v>
      </c>
      <c r="I18" s="52">
        <f>IF(前提!I$6&gt;=前提!$D$140,1,0)</f>
        <v>1</v>
      </c>
    </row>
    <row r="19" spans="2:10" ht="16.5" x14ac:dyDescent="0.35">
      <c r="B19" s="21" t="s">
        <v>435</v>
      </c>
      <c r="C19" s="21"/>
      <c r="E19" s="52">
        <f>IF(AND(前提!E$6&gt;=前提!$D$143,前提!E$6&lt;=前提!$D$144),1,0)</f>
        <v>0</v>
      </c>
      <c r="F19" s="52">
        <f>IF(AND(前提!F$6&gt;=前提!$D$143,前提!F$6&lt;=前提!$D$144),1,0)</f>
        <v>0</v>
      </c>
      <c r="G19" s="52">
        <f>IF(AND(前提!G$6&gt;=前提!$D$143,前提!G$6&lt;=前提!$D$144),1,0)</f>
        <v>1</v>
      </c>
      <c r="H19" s="52">
        <f>IF(AND(前提!H$6&gt;=前提!$D$143,前提!H$6&lt;=前提!$D$144),1,0)</f>
        <v>1</v>
      </c>
      <c r="I19" s="52">
        <f>IF(AND(前提!I$6&gt;=前提!$D$143,前提!I$6&lt;=前提!$D$144),1,0)</f>
        <v>1</v>
      </c>
    </row>
    <row r="20" spans="2:10" ht="16.5" x14ac:dyDescent="0.35">
      <c r="B20" s="21" t="s">
        <v>436</v>
      </c>
      <c r="C20" s="21" t="s">
        <v>28</v>
      </c>
      <c r="E20" s="46">
        <f>前提!$D$135*(1+前提!$D$142)^MAX(0,前提!E$6-前提!$D$140)</f>
        <v>10000</v>
      </c>
      <c r="F20" s="46">
        <f>前提!$D$135*(1+前提!$D$142)^MAX(0,前提!F$6-前提!$D$140)</f>
        <v>10000</v>
      </c>
      <c r="G20" s="46">
        <f>前提!$D$135*(1+前提!$D$142)^MAX(0,前提!G$6-前提!$D$140)</f>
        <v>10300</v>
      </c>
      <c r="H20" s="46">
        <f>前提!$D$135*(1+前提!$D$142)^MAX(0,前提!H$6-前提!$D$140)</f>
        <v>10609</v>
      </c>
      <c r="I20" s="46">
        <f>前提!$D$135*(1+前提!$D$142)^MAX(0,前提!I$6-前提!$D$140)</f>
        <v>10927.27</v>
      </c>
      <c r="J20" s="5" t="s">
        <v>437</v>
      </c>
    </row>
    <row r="21" spans="2:10" ht="16.5" x14ac:dyDescent="0.35">
      <c r="B21" s="21" t="s">
        <v>438</v>
      </c>
      <c r="C21" s="21" t="s">
        <v>31</v>
      </c>
      <c r="E21" s="38">
        <f>前提!$D$33*前提!$D$146</f>
        <v>0</v>
      </c>
      <c r="F21" s="38">
        <f>前提!$D$33*前提!$D$146</f>
        <v>0</v>
      </c>
      <c r="G21" s="38">
        <f>前提!$D$33*前提!$D$146</f>
        <v>0</v>
      </c>
      <c r="H21" s="38">
        <f>前提!$D$33*前提!$D$146</f>
        <v>0</v>
      </c>
      <c r="I21" s="38">
        <f>前提!$D$33*前提!$D$146</f>
        <v>0</v>
      </c>
      <c r="J21" s="5" t="s">
        <v>439</v>
      </c>
    </row>
    <row r="22" spans="2:10" ht="16.5" x14ac:dyDescent="0.35">
      <c r="B22" s="21" t="s">
        <v>440</v>
      </c>
      <c r="C22" s="21" t="s">
        <v>31</v>
      </c>
      <c r="E22" s="38">
        <f>E21*前提!$D$147</f>
        <v>0</v>
      </c>
      <c r="F22" s="38">
        <f>F21*前提!$D$147</f>
        <v>0</v>
      </c>
      <c r="G22" s="38">
        <f>G21*前提!$D$147</f>
        <v>0</v>
      </c>
      <c r="H22" s="38">
        <f>H21*前提!$D$147</f>
        <v>0</v>
      </c>
      <c r="I22" s="38">
        <f>I21*前提!$D$147</f>
        <v>0</v>
      </c>
    </row>
    <row r="23" spans="2:10" ht="16.5" x14ac:dyDescent="0.35">
      <c r="B23" s="42" t="s">
        <v>441</v>
      </c>
      <c r="C23" s="21" t="s">
        <v>28</v>
      </c>
      <c r="E23" s="53">
        <f>前提!$D$145*連結BS!D45-連結BS!D44</f>
        <v>-554.39999999999964</v>
      </c>
      <c r="F23" s="53">
        <f>前提!$D$145*連結BS!E45-連結BS!E44</f>
        <v>757.14679400000387</v>
      </c>
      <c r="G23" s="53">
        <f>前提!$D$145*連結BS!F45-連結BS!F44</f>
        <v>31.108804161254739</v>
      </c>
      <c r="H23" s="53">
        <f>前提!$D$145*連結BS!G45-連結BS!G44</f>
        <v>276.97324477556867</v>
      </c>
      <c r="I23" s="53">
        <f>前提!$D$145*連結BS!H45-連結BS!H44</f>
        <v>2402.7570842915156</v>
      </c>
      <c r="J23" s="5" t="s">
        <v>442</v>
      </c>
    </row>
    <row r="24" spans="2:10" ht="33" x14ac:dyDescent="0.35">
      <c r="B24" s="21" t="s">
        <v>443</v>
      </c>
      <c r="C24" s="21" t="s">
        <v>28</v>
      </c>
      <c r="E24" s="46">
        <f>MAX(0,E23)/(1-(1+前提!$D$145)*E22)</f>
        <v>0</v>
      </c>
      <c r="F24" s="46">
        <f>MAX(0,F23)/(1-(1+前提!$D$145)*F22)</f>
        <v>757.14679400000387</v>
      </c>
      <c r="G24" s="46">
        <f>MAX(0,G23)/(1-(1+前提!$D$145)*G22)</f>
        <v>31.108804161254739</v>
      </c>
      <c r="H24" s="46">
        <f>MAX(0,H23)/(1-(1+前提!$D$145)*H22)</f>
        <v>276.97324477556867</v>
      </c>
      <c r="I24" s="46">
        <f>MAX(0,I23)/(1-(1+前提!$D$145)*I22)</f>
        <v>2402.7570842915156</v>
      </c>
      <c r="J24" s="5" t="s">
        <v>444</v>
      </c>
    </row>
    <row r="25" spans="2:10" ht="16.5" x14ac:dyDescent="0.35">
      <c r="B25" s="21" t="s">
        <v>445</v>
      </c>
      <c r="C25" s="21"/>
      <c r="E25" s="52">
        <f>IF(AND(E19=1,N(D29)=0,N(D28)&gt;=前提!$D$139-0.000001,E23&gt;=(1-N(D28))*E20*(1-(1+前提!$D$145)*E22)+前提!$D$136),1,0)</f>
        <v>0</v>
      </c>
      <c r="F25" s="52">
        <f>IF(AND(F19=1,N(E29)=0,N(E28)&gt;=前提!$D$139-0.000001,F23&gt;=(1-N(E28))*F20*(1-(1+前提!$D$145)*F22)+前提!$D$136),1,0)</f>
        <v>0</v>
      </c>
      <c r="G25" s="52">
        <f>IF(AND(G19=1,N(F29)=0,N(F28)&gt;=前提!$D$139-0.000001,G23&gt;=(1-N(F28))*G20*(1-(1+前提!$D$145)*G22)+前提!$D$136),1,0)</f>
        <v>0</v>
      </c>
      <c r="H25" s="52">
        <f>IF(AND(H19=1,N(G29)=0,N(G28)&gt;=前提!$D$139-0.000001,H23&gt;=(1-N(G28))*H20*(1-(1+前提!$D$145)*H22)+前提!$D$136),1,0)</f>
        <v>0</v>
      </c>
      <c r="I25" s="52">
        <f>IF(AND(I19=1,N(H29)=0,N(H28)&gt;=前提!$D$139-0.000001,I23&gt;=(1-N(H28))*I20*(1-(1+前提!$D$145)*I22)+前提!$D$136),1,0)</f>
        <v>0</v>
      </c>
    </row>
    <row r="26" spans="2:10" ht="16.5" x14ac:dyDescent="0.35">
      <c r="B26" s="42" t="s">
        <v>446</v>
      </c>
      <c r="C26" s="21"/>
      <c r="E26" s="54">
        <f>IF(前提!$D$31&gt;0,IF(AND(前提!E$6=前提!$D$31,N(D29)=0,N(D28)&gt;0),1,0),E25)</f>
        <v>0</v>
      </c>
      <c r="F26" s="54">
        <f>IF(前提!$D$31&gt;0,IF(AND(前提!F$6=前提!$D$31,N(E29)=0,N(E28)&gt;0),1,0),F25)</f>
        <v>0</v>
      </c>
      <c r="G26" s="54">
        <f>IF(前提!$D$31&gt;0,IF(AND(前提!G$6=前提!$D$31,N(F29)=0,N(F28)&gt;0),1,0),G25)</f>
        <v>0</v>
      </c>
      <c r="H26" s="54">
        <f>IF(前提!$D$31&gt;0,IF(AND(前提!H$6=前提!$D$31,N(G29)=0,N(G28)&gt;0),1,0),H25)</f>
        <v>0</v>
      </c>
      <c r="I26" s="54">
        <f>IF(前提!$D$31&gt;0,IF(AND(前提!I$6=前提!$D$31,N(H29)=0,N(H28)&gt;0),1,0),I25)</f>
        <v>0</v>
      </c>
      <c r="J26" s="5" t="s">
        <v>447</v>
      </c>
    </row>
    <row r="27" spans="2:10" ht="16.5" x14ac:dyDescent="0.35">
      <c r="B27" s="21" t="s">
        <v>448</v>
      </c>
      <c r="C27" s="21" t="s">
        <v>31</v>
      </c>
      <c r="E27" s="55">
        <f>IF(AND(E19=1,N(D29)=0,E26=0,N(D28)&gt;0),MIN(MAX(0,前提!$D$139-N(D28)),E24/E20),0)</f>
        <v>0</v>
      </c>
      <c r="F27" s="55">
        <f>IF(AND(F19=1,N(E29)=0,F26=0,N(E28)&gt;0),MIN(MAX(0,前提!$D$139-N(E28)),F24/F20),0)</f>
        <v>0</v>
      </c>
      <c r="G27" s="55">
        <f>IF(AND(G19=1,N(F29)=0,G26=0,N(F28)&gt;0),MIN(MAX(0,前提!$D$139-N(F28)),G24/G20),0)</f>
        <v>3.0202722486655084E-3</v>
      </c>
      <c r="H27" s="55">
        <f>IF(AND(H19=1,N(G29)=0,H26=0,N(G28)&gt;0),MIN(MAX(0,前提!$D$139-N(G28)),H24/H20),0)</f>
        <v>2.6107384746495304E-2</v>
      </c>
      <c r="I27" s="55">
        <f>IF(AND(I19=1,N(H29)=0,I26=0,N(H28)&gt;0),MIN(MAX(0,前提!$D$139-N(H28)),I24/I20),0)</f>
        <v>0.2198863105141097</v>
      </c>
      <c r="J27" s="5" t="s">
        <v>449</v>
      </c>
    </row>
    <row r="28" spans="2:10" ht="16.5" x14ac:dyDescent="0.35">
      <c r="B28" s="42" t="s">
        <v>450</v>
      </c>
      <c r="C28" s="21" t="s">
        <v>31</v>
      </c>
      <c r="E28" s="56">
        <f>IF(E26=1,1,N(D28)+E17*前提!$D$138+E27)</f>
        <v>0</v>
      </c>
      <c r="F28" s="56">
        <f>IF(F26=1,1,N(E28)+F17*前提!$D$138+F27)</f>
        <v>0.2</v>
      </c>
      <c r="G28" s="56">
        <f>IF(G26=1,1,N(F28)+G17*前提!$D$138+G27)</f>
        <v>0.20302027224866551</v>
      </c>
      <c r="H28" s="56">
        <f>IF(H26=1,1,N(G28)+H17*前提!$D$138+H27)</f>
        <v>0.2291276569951608</v>
      </c>
      <c r="I28" s="56">
        <f>IF(I26=1,1,N(H28)+I17*前提!$D$138+I27)</f>
        <v>0.44901396750927047</v>
      </c>
    </row>
    <row r="29" spans="2:10" ht="16.5" x14ac:dyDescent="0.35">
      <c r="B29" s="21" t="s">
        <v>451</v>
      </c>
      <c r="C29" s="21"/>
      <c r="E29" s="57">
        <f>MAX(N(D29),E26)</f>
        <v>0</v>
      </c>
      <c r="F29" s="57">
        <f>MAX(N(E29),F26)</f>
        <v>0</v>
      </c>
      <c r="G29" s="57">
        <f>MAX(N(F29),G26)</f>
        <v>0</v>
      </c>
      <c r="H29" s="57">
        <f>MAX(N(G29),H26)</f>
        <v>0</v>
      </c>
      <c r="I29" s="57">
        <f>MAX(N(H29),I26)</f>
        <v>0</v>
      </c>
    </row>
    <row r="31" spans="2:10" ht="20.100000000000001" customHeight="1" x14ac:dyDescent="0.35">
      <c r="B31" s="22" t="s">
        <v>452</v>
      </c>
      <c r="C31" s="4"/>
      <c r="D31" s="4"/>
      <c r="E31" s="4"/>
      <c r="F31" s="4"/>
      <c r="G31" s="4"/>
      <c r="H31" s="4"/>
      <c r="I31" s="4"/>
      <c r="J31" s="4"/>
    </row>
    <row r="32" spans="2:10" ht="16.5" x14ac:dyDescent="0.35">
      <c r="B32" s="21" t="s">
        <v>453</v>
      </c>
      <c r="C32" s="21" t="s">
        <v>28</v>
      </c>
      <c r="E32" s="46">
        <f>E17*前提!$D$138*E20</f>
        <v>0</v>
      </c>
      <c r="F32" s="46">
        <f>F17*前提!$D$138*F20</f>
        <v>2000</v>
      </c>
      <c r="G32" s="46">
        <f>G17*前提!$D$138*G20</f>
        <v>0</v>
      </c>
      <c r="H32" s="46">
        <f>H17*前提!$D$138*H20</f>
        <v>0</v>
      </c>
      <c r="I32" s="46">
        <f>I17*前提!$D$138*I20</f>
        <v>0</v>
      </c>
      <c r="J32" s="5" t="s">
        <v>454</v>
      </c>
    </row>
    <row r="33" spans="2:10" ht="16.5" x14ac:dyDescent="0.35">
      <c r="B33" s="21" t="s">
        <v>455</v>
      </c>
      <c r="C33" s="21" t="s">
        <v>28</v>
      </c>
      <c r="E33" s="51">
        <f>E27*E20</f>
        <v>0</v>
      </c>
      <c r="F33" s="51">
        <f>F27*F20</f>
        <v>0</v>
      </c>
      <c r="G33" s="51">
        <f>G27*G20</f>
        <v>31.108804161254735</v>
      </c>
      <c r="H33" s="51">
        <f>H27*H20</f>
        <v>276.97324477556867</v>
      </c>
      <c r="I33" s="51">
        <f>I27*I20</f>
        <v>2402.7570842915156</v>
      </c>
    </row>
    <row r="34" spans="2:10" ht="16.5" x14ac:dyDescent="0.35">
      <c r="B34" s="21" t="s">
        <v>456</v>
      </c>
      <c r="C34" s="21" t="s">
        <v>28</v>
      </c>
      <c r="E34" s="51">
        <f>E26*(1-N(D28))*E20</f>
        <v>0</v>
      </c>
      <c r="F34" s="51">
        <f>F26*(1-N(E28))*F20</f>
        <v>0</v>
      </c>
      <c r="G34" s="51">
        <f>G26*(1-N(F28))*G20</f>
        <v>0</v>
      </c>
      <c r="H34" s="51">
        <f>H26*(1-N(G28))*H20</f>
        <v>0</v>
      </c>
      <c r="I34" s="51">
        <f>I26*(1-N(H28))*I20</f>
        <v>0</v>
      </c>
    </row>
    <row r="35" spans="2:10" ht="16.5" x14ac:dyDescent="0.35">
      <c r="B35" s="21" t="s">
        <v>457</v>
      </c>
      <c r="C35" s="21" t="s">
        <v>28</v>
      </c>
      <c r="E35" s="51">
        <f>E32+E33</f>
        <v>0</v>
      </c>
      <c r="F35" s="51">
        <f>F32+F33</f>
        <v>2000</v>
      </c>
      <c r="G35" s="51">
        <f>G32+G33</f>
        <v>31.108804161254735</v>
      </c>
      <c r="H35" s="51">
        <f>H32+H33</f>
        <v>276.97324477556867</v>
      </c>
      <c r="I35" s="51">
        <f>I32+I33</f>
        <v>2402.7570842915156</v>
      </c>
    </row>
    <row r="36" spans="2:10" ht="16.5" x14ac:dyDescent="0.35">
      <c r="B36" s="42" t="s">
        <v>458</v>
      </c>
      <c r="C36" s="21" t="s">
        <v>28</v>
      </c>
      <c r="E36" s="58">
        <f>E35+E34</f>
        <v>0</v>
      </c>
      <c r="F36" s="58">
        <f>F35+F34</f>
        <v>2000</v>
      </c>
      <c r="G36" s="58">
        <f>G35+G34</f>
        <v>31.108804161254735</v>
      </c>
      <c r="H36" s="58">
        <f>H35+H34</f>
        <v>276.97324477556867</v>
      </c>
      <c r="I36" s="58">
        <f>I35+I34</f>
        <v>2402.7570842915156</v>
      </c>
    </row>
    <row r="37" spans="2:10" ht="16.5" x14ac:dyDescent="0.35">
      <c r="B37" s="21" t="s">
        <v>459</v>
      </c>
      <c r="C37" s="21" t="s">
        <v>28</v>
      </c>
      <c r="E37" s="51">
        <f>E36*E21</f>
        <v>0</v>
      </c>
      <c r="F37" s="51">
        <f>F36*F21</f>
        <v>0</v>
      </c>
      <c r="G37" s="51">
        <f>G36*G21</f>
        <v>0</v>
      </c>
      <c r="H37" s="51">
        <f>H36*H21</f>
        <v>0</v>
      </c>
      <c r="I37" s="51">
        <f>I36*I21</f>
        <v>0</v>
      </c>
    </row>
    <row r="38" spans="2:10" ht="16.5" x14ac:dyDescent="0.35">
      <c r="B38" s="21" t="s">
        <v>460</v>
      </c>
      <c r="C38" s="21" t="s">
        <v>28</v>
      </c>
      <c r="E38" s="51">
        <f>N(D38)+E37</f>
        <v>0</v>
      </c>
      <c r="F38" s="51">
        <f>N(E38)+F37</f>
        <v>0</v>
      </c>
      <c r="G38" s="51">
        <f>N(F38)+G37</f>
        <v>0</v>
      </c>
      <c r="H38" s="51">
        <f>N(G38)+H37</f>
        <v>0</v>
      </c>
      <c r="I38" s="51">
        <f>N(H38)+I37</f>
        <v>0</v>
      </c>
    </row>
    <row r="39" spans="2:10" ht="16.5" x14ac:dyDescent="0.35">
      <c r="B39" s="21" t="s">
        <v>323</v>
      </c>
      <c r="C39" s="21" t="s">
        <v>28</v>
      </c>
      <c r="E39" s="41">
        <f>前提!$D$148*(N(D38)+E21*(E33+E34+E32*前提!$D$141))</f>
        <v>0</v>
      </c>
      <c r="F39" s="41">
        <f>前提!$D$148*(N(E38)+F21*(F33+F34+F32*前提!$D$141))</f>
        <v>0</v>
      </c>
      <c r="G39" s="41">
        <f>前提!$D$148*(N(F38)+G21*(G33+G34+G32*前提!$D$141))</f>
        <v>0</v>
      </c>
      <c r="H39" s="41">
        <f>前提!$D$148*(N(G38)+H21*(H33+H34+H32*前提!$D$141))</f>
        <v>0</v>
      </c>
      <c r="I39" s="41">
        <f>前提!$D$148*(N(H38)+I21*(I33+I34+I32*前提!$D$141))</f>
        <v>0</v>
      </c>
    </row>
    <row r="41" spans="2:10" ht="20.100000000000001" customHeight="1" x14ac:dyDescent="0.35">
      <c r="B41" s="22" t="s">
        <v>461</v>
      </c>
      <c r="C41" s="4"/>
      <c r="D41" s="4"/>
      <c r="E41" s="4"/>
      <c r="F41" s="4"/>
      <c r="G41" s="4"/>
      <c r="H41" s="4"/>
      <c r="I41" s="4"/>
      <c r="J41" s="4"/>
    </row>
    <row r="42" spans="2:10" ht="16.5" x14ac:dyDescent="0.35">
      <c r="B42" s="21" t="s">
        <v>462</v>
      </c>
      <c r="C42" s="21"/>
      <c r="E42" s="57">
        <f>E18*(1-E29)</f>
        <v>0</v>
      </c>
      <c r="F42" s="57">
        <f>F18*(1-F29)</f>
        <v>1</v>
      </c>
      <c r="G42" s="57">
        <f>G18*(1-G29)</f>
        <v>1</v>
      </c>
      <c r="H42" s="57">
        <f>H18*(1-H29)</f>
        <v>1</v>
      </c>
      <c r="I42" s="57">
        <f>I18*(1-I29)</f>
        <v>1</v>
      </c>
    </row>
    <row r="43" spans="2:10" ht="16.5" x14ac:dyDescent="0.35">
      <c r="B43" s="21" t="s">
        <v>463</v>
      </c>
      <c r="C43" s="21" t="s">
        <v>22</v>
      </c>
      <c r="E43" s="49">
        <f>IF(E17=1,前提!$D$141,1)</f>
        <v>1</v>
      </c>
      <c r="F43" s="49">
        <f>IF(F17=1,前提!$D$141,1)</f>
        <v>0.5</v>
      </c>
      <c r="G43" s="49">
        <f>IF(G17=1,前提!$D$141,1)</f>
        <v>1</v>
      </c>
      <c r="H43" s="49">
        <f>IF(H17=1,前提!$D$141,1)</f>
        <v>1</v>
      </c>
      <c r="I43" s="49">
        <f>IF(I17=1,前提!$D$141,1)</f>
        <v>1</v>
      </c>
    </row>
    <row r="44" spans="2:10" ht="16.5" x14ac:dyDescent="0.35">
      <c r="B44" s="42" t="s">
        <v>464</v>
      </c>
      <c r="C44" s="21" t="s">
        <v>28</v>
      </c>
      <c r="E44" s="44">
        <f>E42*E43*E28*(E13-前提!$D$158)*(1-前提!$D$159)</f>
        <v>0</v>
      </c>
      <c r="F44" s="44">
        <f>F42*F43*F28*(F13-前提!$D$158)*(1-前提!$D$159)</f>
        <v>44.998283319999985</v>
      </c>
      <c r="G44" s="44">
        <f>G42*G43*G28*(G13-前提!$D$158)*(1-前提!$D$159)</f>
        <v>107.0049076906558</v>
      </c>
      <c r="H44" s="44">
        <f>H42*H43*H28*(H13-前提!$D$158)*(1-前提!$D$159)</f>
        <v>133.41745029561559</v>
      </c>
      <c r="I44" s="44">
        <f>I42*I43*I28*(I13-前提!$D$158)*(1-前提!$D$159)</f>
        <v>283.69482251538642</v>
      </c>
      <c r="J44" s="5" t="s">
        <v>465</v>
      </c>
    </row>
    <row r="45" spans="2:10" ht="16.5" x14ac:dyDescent="0.35">
      <c r="B45" s="21" t="s">
        <v>466</v>
      </c>
      <c r="C45" s="21" t="s">
        <v>28</v>
      </c>
      <c r="E45" s="51">
        <f>E26*N(D46)</f>
        <v>0</v>
      </c>
      <c r="F45" s="51">
        <f>F26*N(E46)</f>
        <v>0</v>
      </c>
      <c r="G45" s="51">
        <f>G26*N(F46)</f>
        <v>0</v>
      </c>
      <c r="H45" s="51">
        <f>H26*N(G46)</f>
        <v>0</v>
      </c>
      <c r="I45" s="51">
        <f>I26*N(H46)</f>
        <v>0</v>
      </c>
    </row>
    <row r="46" spans="2:10" ht="16.5" x14ac:dyDescent="0.35">
      <c r="B46" s="21" t="s">
        <v>467</v>
      </c>
      <c r="C46" s="21" t="s">
        <v>28</v>
      </c>
      <c r="E46" s="51">
        <f>N(D46)+E35+E44-E45</f>
        <v>0</v>
      </c>
      <c r="F46" s="51">
        <f>N(E46)+F35+F44-F45</f>
        <v>2044.9982833199999</v>
      </c>
      <c r="G46" s="51">
        <f>N(F46)+G35+G44-G45</f>
        <v>2183.1119951719102</v>
      </c>
      <c r="H46" s="51">
        <f>N(G46)+H35+H44-H45</f>
        <v>2593.5026902430945</v>
      </c>
      <c r="I46" s="51">
        <f>N(H46)+I35+I44-I45</f>
        <v>5279.9545970499967</v>
      </c>
    </row>
    <row r="47" spans="2:10" ht="16.5" x14ac:dyDescent="0.35">
      <c r="B47" s="21" t="s">
        <v>468</v>
      </c>
      <c r="C47" s="21" t="s">
        <v>28</v>
      </c>
      <c r="E47" s="51">
        <f>E29*E14</f>
        <v>0</v>
      </c>
      <c r="F47" s="51">
        <f>F29*F14</f>
        <v>0</v>
      </c>
      <c r="G47" s="51">
        <f>G29*G14</f>
        <v>0</v>
      </c>
      <c r="H47" s="51">
        <f>H29*H14</f>
        <v>0</v>
      </c>
      <c r="I47" s="51">
        <f>I29*I14</f>
        <v>0</v>
      </c>
    </row>
    <row r="48" spans="2:10" ht="16.5" x14ac:dyDescent="0.35">
      <c r="B48" s="21" t="s">
        <v>469</v>
      </c>
      <c r="C48" s="21" t="s">
        <v>28</v>
      </c>
      <c r="E48" s="45">
        <f>E29*E13</f>
        <v>0</v>
      </c>
      <c r="F48" s="45">
        <f>F29*F13</f>
        <v>0</v>
      </c>
      <c r="G48" s="45">
        <f>G29*G13</f>
        <v>0</v>
      </c>
      <c r="H48" s="45">
        <f>H29*H13</f>
        <v>0</v>
      </c>
      <c r="I48" s="45">
        <f>I29*I13</f>
        <v>0</v>
      </c>
    </row>
    <row r="49" spans="2:10" ht="16.5" x14ac:dyDescent="0.35">
      <c r="B49" s="21" t="s">
        <v>470</v>
      </c>
      <c r="C49" s="21" t="s">
        <v>28</v>
      </c>
      <c r="E49" s="46">
        <f>E26*(SUM($E36:E36)-前提!$D$137)</f>
        <v>0</v>
      </c>
      <c r="F49" s="46">
        <f>F26*(SUM($E36:F36)-前提!$D$137)</f>
        <v>0</v>
      </c>
      <c r="G49" s="46">
        <f>G26*(SUM($E36:G36)-前提!$D$137)</f>
        <v>0</v>
      </c>
      <c r="H49" s="46">
        <f>H26*(SUM($E36:H36)-前提!$D$137)</f>
        <v>0</v>
      </c>
      <c r="I49" s="46">
        <f>I26*(SUM($E36:I36)-前提!$D$137)</f>
        <v>0</v>
      </c>
      <c r="J49" s="5" t="s">
        <v>471</v>
      </c>
    </row>
    <row r="51" spans="2:10" ht="20.100000000000001" customHeight="1" x14ac:dyDescent="0.35">
      <c r="B51" s="22" t="s">
        <v>472</v>
      </c>
      <c r="C51" s="4"/>
      <c r="D51" s="4"/>
      <c r="E51" s="4"/>
      <c r="F51" s="4"/>
      <c r="G51" s="4"/>
      <c r="H51" s="4"/>
      <c r="I51" s="4"/>
      <c r="J51" s="4"/>
    </row>
    <row r="52" spans="2:10" ht="16.5" x14ac:dyDescent="0.35">
      <c r="B52" s="21" t="s">
        <v>473</v>
      </c>
      <c r="C52" s="21" t="s">
        <v>31</v>
      </c>
      <c r="E52" s="59">
        <f>E28</f>
        <v>0</v>
      </c>
      <c r="F52" s="59">
        <f>F28</f>
        <v>0.2</v>
      </c>
      <c r="G52" s="59">
        <f>G28</f>
        <v>0.20302027224866551</v>
      </c>
      <c r="H52" s="59">
        <f>H28</f>
        <v>0.2291276569951608</v>
      </c>
      <c r="I52" s="59">
        <f>I28</f>
        <v>0.44901396750927047</v>
      </c>
    </row>
    <row r="53" spans="2:10" ht="16.5" x14ac:dyDescent="0.35">
      <c r="B53" s="21" t="s">
        <v>474</v>
      </c>
      <c r="C53" s="21" t="s">
        <v>28</v>
      </c>
      <c r="E53" s="51">
        <f>E36</f>
        <v>0</v>
      </c>
      <c r="F53" s="51">
        <f>F36</f>
        <v>2000</v>
      </c>
      <c r="G53" s="51">
        <f>G36</f>
        <v>31.108804161254735</v>
      </c>
      <c r="H53" s="51">
        <f>H36</f>
        <v>276.97324477556867</v>
      </c>
      <c r="I53" s="51">
        <f>I36</f>
        <v>2402.7570842915156</v>
      </c>
    </row>
    <row r="54" spans="2:10" ht="16.5" x14ac:dyDescent="0.35">
      <c r="B54" s="21" t="s">
        <v>475</v>
      </c>
      <c r="C54" s="21" t="s">
        <v>28</v>
      </c>
      <c r="E54" s="45">
        <f>E44+E48</f>
        <v>0</v>
      </c>
      <c r="F54" s="45">
        <f>F44+F48</f>
        <v>44.998283319999985</v>
      </c>
      <c r="G54" s="45">
        <f>G44+G48</f>
        <v>107.0049076906558</v>
      </c>
      <c r="H54" s="45">
        <f>H44+H48</f>
        <v>133.41745029561559</v>
      </c>
      <c r="I54" s="45">
        <f>I44+I48</f>
        <v>283.69482251538642</v>
      </c>
    </row>
    <row r="55" spans="2:10" ht="16.5" x14ac:dyDescent="0.35">
      <c r="B55" s="21" t="s">
        <v>476</v>
      </c>
      <c r="C55" s="21" t="s">
        <v>28</v>
      </c>
      <c r="E55" s="51">
        <f>E23</f>
        <v>-554.39999999999964</v>
      </c>
      <c r="F55" s="51">
        <f>F23</f>
        <v>757.14679400000387</v>
      </c>
      <c r="G55" s="51">
        <f>G23</f>
        <v>31.108804161254739</v>
      </c>
      <c r="H55" s="51">
        <f>H23</f>
        <v>276.97324477556867</v>
      </c>
      <c r="I55" s="51">
        <f>I23</f>
        <v>2402.7570842915156</v>
      </c>
    </row>
    <row r="56" spans="2:10" ht="16.5" x14ac:dyDescent="0.35">
      <c r="B56" s="21" t="s">
        <v>477</v>
      </c>
      <c r="C56" s="21" t="s">
        <v>28</v>
      </c>
      <c r="E56" s="41">
        <f>連結PL!E52</f>
        <v>0</v>
      </c>
      <c r="F56" s="41">
        <f>連結PL!F52</f>
        <v>44.998283320000155</v>
      </c>
      <c r="G56" s="41">
        <f>連結PL!G52</f>
        <v>107.00490769065573</v>
      </c>
      <c r="H56" s="41">
        <f>連結PL!H52</f>
        <v>133.41745029561571</v>
      </c>
      <c r="I56" s="41">
        <f>連結PL!I52</f>
        <v>283.69482251538648</v>
      </c>
    </row>
    <row r="57" spans="2:10" ht="16.5" x14ac:dyDescent="0.35">
      <c r="B57" s="21" t="s">
        <v>478</v>
      </c>
      <c r="C57" s="21" t="s">
        <v>28</v>
      </c>
      <c r="E57" s="41">
        <f>連結PL!E53</f>
        <v>0</v>
      </c>
      <c r="F57" s="41">
        <f>連結PL!F53</f>
        <v>30.398283320000019</v>
      </c>
      <c r="G57" s="41">
        <f>連結PL!G53</f>
        <v>77.137559149901335</v>
      </c>
      <c r="H57" s="41">
        <f>連結PL!H53</f>
        <v>99.070229092442787</v>
      </c>
      <c r="I57" s="41">
        <f>連結PL!I53</f>
        <v>213.25962958132868</v>
      </c>
    </row>
    <row r="58" spans="2:10" ht="16.5" x14ac:dyDescent="0.35">
      <c r="B58" s="21" t="s">
        <v>479</v>
      </c>
      <c r="C58" s="21" t="s">
        <v>147</v>
      </c>
      <c r="E58" s="41">
        <f>連結PL!E54</f>
        <v>0</v>
      </c>
      <c r="F58" s="41">
        <f>連結PL!F54</f>
        <v>2.2373064929712285</v>
      </c>
      <c r="G58" s="41">
        <f>連結PL!G54</f>
        <v>5.677306186052931</v>
      </c>
      <c r="H58" s="41">
        <f>連結PL!H54</f>
        <v>7.2915455282581263</v>
      </c>
      <c r="I58" s="41">
        <f>連結PL!I54</f>
        <v>15.695858510438541</v>
      </c>
    </row>
    <row r="59" spans="2:10" ht="16.5" x14ac:dyDescent="0.35">
      <c r="B59" s="21" t="s">
        <v>480</v>
      </c>
      <c r="C59" s="21" t="s">
        <v>22</v>
      </c>
      <c r="E59" s="49">
        <f>連結BS!E21</f>
        <v>0.75895837242700637</v>
      </c>
      <c r="F59" s="49">
        <f>連結BS!F21</f>
        <v>0.69464460232453606</v>
      </c>
      <c r="G59" s="49">
        <f>連結BS!G21</f>
        <v>0.67048468160269292</v>
      </c>
      <c r="H59" s="49">
        <f>連結BS!H21</f>
        <v>0.54899901305825838</v>
      </c>
      <c r="I59" s="49">
        <f>連結BS!I21</f>
        <v>0.42829163006431814</v>
      </c>
    </row>
    <row r="60" spans="2:10" ht="16.5" x14ac:dyDescent="0.35">
      <c r="B60" s="21" t="s">
        <v>481</v>
      </c>
      <c r="C60" s="21" t="s">
        <v>22</v>
      </c>
      <c r="E60" s="49">
        <f>連結BS!E46</f>
        <v>0.75895837242700637</v>
      </c>
      <c r="F60" s="49">
        <f>連結BS!F46</f>
        <v>0.79838116561886896</v>
      </c>
      <c r="G60" s="49">
        <f>連結BS!G46</f>
        <v>0.78426963743205824</v>
      </c>
      <c r="H60" s="49">
        <f>連結BS!H46</f>
        <v>0.67249422902187994</v>
      </c>
      <c r="I60" s="49">
        <f>連結BS!I46</f>
        <v>0.66679129742104404</v>
      </c>
    </row>
    <row r="62" spans="2:10" ht="16.5" x14ac:dyDescent="0.35">
      <c r="B62" s="42" t="s">
        <v>482</v>
      </c>
      <c r="D62" s="60" t="str">
        <f>IF(SUM($E$26:$I$26)=0,"未到達（"&amp;TEXT(MAX($E$28:$I$28),"0.0%")&amp;"で据え置き）",SUMPRODUCT($E$26:$I$26,前提!$E$6:$I$6))</f>
        <v>未到達（44.9%で据え置き）</v>
      </c>
    </row>
    <row r="64" spans="2:10" ht="17.100000000000001" customHeight="1" x14ac:dyDescent="0.15">
      <c r="B64" s="72" t="s">
        <v>483</v>
      </c>
      <c r="C64" s="73"/>
      <c r="D64" s="73"/>
      <c r="E64" s="73"/>
      <c r="F64" s="73"/>
      <c r="G64" s="73"/>
      <c r="H64" s="73"/>
      <c r="I64" s="73"/>
    </row>
    <row r="65" spans="2:9" ht="17.100000000000001" customHeight="1" x14ac:dyDescent="0.15">
      <c r="B65" s="72" t="s">
        <v>484</v>
      </c>
      <c r="C65" s="73"/>
      <c r="D65" s="73"/>
      <c r="E65" s="73"/>
      <c r="F65" s="73"/>
      <c r="G65" s="73"/>
      <c r="H65" s="73"/>
      <c r="I65" s="73"/>
    </row>
    <row r="66" spans="2:9" ht="17.100000000000001" customHeight="1" x14ac:dyDescent="0.15">
      <c r="B66" s="72" t="s">
        <v>485</v>
      </c>
      <c r="C66" s="73"/>
      <c r="D66" s="73"/>
      <c r="E66" s="73"/>
      <c r="F66" s="73"/>
      <c r="G66" s="73"/>
      <c r="H66" s="73"/>
      <c r="I66" s="73"/>
    </row>
  </sheetData>
  <mergeCells count="3">
    <mergeCell ref="B66:I66"/>
    <mergeCell ref="B65:I65"/>
    <mergeCell ref="B64:I64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J45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486</v>
      </c>
    </row>
    <row r="2" spans="2:10" ht="16.5" x14ac:dyDescent="0.35">
      <c r="B2" s="21" t="s">
        <v>487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488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489</v>
      </c>
      <c r="C6" s="21" t="s">
        <v>28</v>
      </c>
      <c r="E6" s="46">
        <f>前提!$D$36</f>
        <v>12370</v>
      </c>
      <c r="F6" s="46">
        <f>E6*(1+前提!$D$48)</f>
        <v>12864.800000000001</v>
      </c>
      <c r="G6" s="46">
        <f>F6*(1+前提!$D$48)</f>
        <v>13379.392000000002</v>
      </c>
      <c r="H6" s="46">
        <f>G6*(1+前提!$D$48)</f>
        <v>13914.567680000002</v>
      </c>
      <c r="I6" s="46">
        <f>H6*(1+前提!$D$48)</f>
        <v>14471.150387200003</v>
      </c>
      <c r="J6" s="5" t="s">
        <v>490</v>
      </c>
    </row>
    <row r="7" spans="2:10" ht="16.5" x14ac:dyDescent="0.35">
      <c r="B7" s="21" t="s">
        <v>491</v>
      </c>
      <c r="C7" s="21" t="s">
        <v>28</v>
      </c>
      <c r="E7" s="41">
        <f>前提!$D$37</f>
        <v>900</v>
      </c>
      <c r="F7" s="41">
        <f>F6*前提!F7</f>
        <v>1003.4544000000001</v>
      </c>
      <c r="G7" s="41">
        <f>G6*前提!G7</f>
        <v>1110.4895360000003</v>
      </c>
      <c r="H7" s="41">
        <f>H6*前提!H7</f>
        <v>1224.4819558400002</v>
      </c>
      <c r="I7" s="41">
        <f>I6*前提!I7</f>
        <v>1302.4035348480002</v>
      </c>
      <c r="J7" s="5" t="s">
        <v>492</v>
      </c>
    </row>
    <row r="8" spans="2:10" ht="16.5" x14ac:dyDescent="0.35">
      <c r="B8" s="21" t="s">
        <v>493</v>
      </c>
      <c r="C8" s="21" t="s">
        <v>28</v>
      </c>
      <c r="E8" s="46">
        <f>前提!$D$36</f>
        <v>12370</v>
      </c>
      <c r="F8" s="46">
        <f>IF(前提!F$6&lt;=前提!$D$51,前提!$D$36+(前提!$D$49-前提!$D$36)*(前提!F$6-前提!E$6)/(前提!$D$51-前提!E$6),E8*(1+前提!$D$52))</f>
        <v>13480</v>
      </c>
      <c r="G8" s="46">
        <f>IF(前提!G$6&lt;=前提!$D$51,前提!$D$36+(前提!$D$49-前提!$D$36)*(前提!G$6-前提!E$6)/(前提!$D$51-前提!E$6),F8*(1+前提!$D$52))</f>
        <v>14590</v>
      </c>
      <c r="H8" s="46">
        <f>IF(前提!H$6&lt;=前提!$D$51,前提!$D$36+(前提!$D$49-前提!$D$36)*(前提!H$6-前提!E$6)/(前提!$D$51-前提!E$6),G8*(1+前提!$D$52))</f>
        <v>15700</v>
      </c>
      <c r="I8" s="46">
        <f>IF(前提!I$6&lt;=前提!$D$51,前提!$D$36+(前提!$D$49-前提!$D$36)*(前提!I$6-前提!E$6)/(前提!$D$51-前提!E$6),H8*(1+前提!$D$52))</f>
        <v>16328</v>
      </c>
      <c r="J8" s="5" t="s">
        <v>494</v>
      </c>
    </row>
    <row r="9" spans="2:10" ht="16.5" x14ac:dyDescent="0.35">
      <c r="B9" s="21" t="s">
        <v>495</v>
      </c>
      <c r="C9" s="21" t="s">
        <v>28</v>
      </c>
      <c r="E9" s="41">
        <f>前提!$D$37</f>
        <v>900</v>
      </c>
      <c r="F9" s="41">
        <f>IF(前提!F$6&lt;=前提!$D$51,前提!$D$37+(前提!$D$50-前提!$D$37)*(前提!F$6-前提!E$6)/(前提!$D$51-前提!E$6),F8*前提!$D$53)</f>
        <v>1116.6666666666667</v>
      </c>
      <c r="G9" s="41">
        <f>IF(前提!G$6&lt;=前提!$D$51,前提!$D$37+(前提!$D$50-前提!$D$37)*(前提!G$6-前提!E$6)/(前提!$D$51-前提!E$6),G8*前提!$D$53)</f>
        <v>1333.3333333333333</v>
      </c>
      <c r="H9" s="41">
        <f>IF(前提!H$6&lt;=前提!$D$51,前提!$D$37+(前提!$D$50-前提!$D$37)*(前提!H$6-前提!E$6)/(前提!$D$51-前提!E$6),H8*前提!$D$53)</f>
        <v>1550</v>
      </c>
      <c r="I9" s="41">
        <f>IF(前提!I$6&lt;=前提!$D$51,前提!$D$37+(前提!$D$50-前提!$D$37)*(前提!I$6-前提!E$6)/(前提!$D$51-前提!E$6),I8*前提!$D$53)</f>
        <v>1632.8000000000002</v>
      </c>
      <c r="J9" s="5" t="s">
        <v>496</v>
      </c>
    </row>
    <row r="10" spans="2:10" ht="16.5" x14ac:dyDescent="0.35">
      <c r="B10" s="21" t="s">
        <v>497</v>
      </c>
      <c r="C10" s="21" t="s">
        <v>28</v>
      </c>
      <c r="E10" s="46">
        <f>IF(前提!$D$30=1,E8,E6)</f>
        <v>12370</v>
      </c>
      <c r="F10" s="46">
        <f>IF(前提!$D$30=1,F8,F6)</f>
        <v>13480</v>
      </c>
      <c r="G10" s="46">
        <f>IF(前提!$D$30=1,G8,G6)</f>
        <v>14590</v>
      </c>
      <c r="H10" s="46">
        <f>IF(前提!$D$30=1,H8,H6)</f>
        <v>15700</v>
      </c>
      <c r="I10" s="46">
        <f>IF(前提!$D$30=1,I8,I6)</f>
        <v>16328</v>
      </c>
      <c r="J10" s="5" t="s">
        <v>498</v>
      </c>
    </row>
    <row r="11" spans="2:10" ht="16.5" x14ac:dyDescent="0.35">
      <c r="B11" s="21" t="s">
        <v>499</v>
      </c>
      <c r="C11" s="21" t="s">
        <v>28</v>
      </c>
      <c r="E11" s="41">
        <f>IF(前提!$D$30=1,E9,E7)</f>
        <v>900</v>
      </c>
      <c r="F11" s="41">
        <f>IF(前提!$D$30=1,F9,F7)</f>
        <v>1116.6666666666667</v>
      </c>
      <c r="G11" s="41">
        <f>IF(前提!$D$30=1,G9,G7)</f>
        <v>1333.3333333333333</v>
      </c>
      <c r="H11" s="41">
        <f>IF(前提!$D$30=1,H9,H7)</f>
        <v>1550</v>
      </c>
      <c r="I11" s="41">
        <f>IF(前提!$D$30=1,I9,I7)</f>
        <v>1632.8000000000002</v>
      </c>
    </row>
    <row r="12" spans="2:10" ht="16.5" x14ac:dyDescent="0.35">
      <c r="B12" s="21" t="s">
        <v>500</v>
      </c>
      <c r="C12" s="21" t="s">
        <v>31</v>
      </c>
      <c r="E12" s="59">
        <f>E11/E10</f>
        <v>7.275666936135812E-2</v>
      </c>
      <c r="F12" s="59">
        <f>F11/F10</f>
        <v>8.2838773491592493E-2</v>
      </c>
      <c r="G12" s="59">
        <f>G11/G10</f>
        <v>9.1386794608179112E-2</v>
      </c>
      <c r="H12" s="59">
        <f>H11/H10</f>
        <v>9.8726114649681534E-2</v>
      </c>
      <c r="I12" s="59">
        <f>I11/I10</f>
        <v>0.1</v>
      </c>
    </row>
    <row r="13" spans="2:10" ht="16.5" x14ac:dyDescent="0.35">
      <c r="B13" s="21" t="s">
        <v>501</v>
      </c>
      <c r="C13" s="21" t="s">
        <v>28</v>
      </c>
      <c r="E13" s="41">
        <f>D_半導体!E15</f>
        <v>0</v>
      </c>
      <c r="F13" s="41">
        <f>D_半導体!F15</f>
        <v>1.0499999999999972</v>
      </c>
      <c r="G13" s="41">
        <f>D_半導体!G15</f>
        <v>11.223286536000018</v>
      </c>
      <c r="H13" s="41">
        <f>D_半導体!H15</f>
        <v>14.675192462280023</v>
      </c>
      <c r="I13" s="41">
        <f>D_半導体!I15</f>
        <v>18.133569348683594</v>
      </c>
    </row>
    <row r="14" spans="2:10" ht="16.5" x14ac:dyDescent="0.35">
      <c r="B14" s="21" t="s">
        <v>502</v>
      </c>
      <c r="C14" s="21" t="s">
        <v>28</v>
      </c>
      <c r="E14" s="41">
        <f>D_半導体!E25</f>
        <v>0</v>
      </c>
      <c r="F14" s="41">
        <f>D_半導体!F25</f>
        <v>7.6319999999999766</v>
      </c>
      <c r="G14" s="41">
        <f>D_半導体!G25</f>
        <v>14.722982399999978</v>
      </c>
      <c r="H14" s="41">
        <f>D_半導体!H25</f>
        <v>18.795810815999971</v>
      </c>
      <c r="I14" s="41">
        <f>D_半導体!I25</f>
        <v>22.764333106175997</v>
      </c>
    </row>
    <row r="15" spans="2:10" ht="16.5" x14ac:dyDescent="0.35">
      <c r="B15" s="21" t="s">
        <v>503</v>
      </c>
      <c r="C15" s="21" t="s">
        <v>28</v>
      </c>
      <c r="E15" s="41">
        <f>D_Zoox!E9</f>
        <v>0</v>
      </c>
      <c r="F15" s="41">
        <f>D_Zoox!F9</f>
        <v>100</v>
      </c>
      <c r="G15" s="41">
        <f>D_Zoox!G9</f>
        <v>100</v>
      </c>
      <c r="H15" s="41">
        <f>D_Zoox!H9</f>
        <v>100</v>
      </c>
      <c r="I15" s="41">
        <f>D_Zoox!I9</f>
        <v>100</v>
      </c>
    </row>
    <row r="16" spans="2:10" ht="16.5" x14ac:dyDescent="0.35">
      <c r="B16" s="21" t="s">
        <v>504</v>
      </c>
      <c r="C16" s="21" t="s">
        <v>28</v>
      </c>
      <c r="E16" s="41">
        <f>D_半導体!E16</f>
        <v>0</v>
      </c>
      <c r="F16" s="41">
        <f>D_半導体!F16</f>
        <v>0.47249999999999875</v>
      </c>
      <c r="G16" s="41">
        <f>D_半導体!G16</f>
        <v>5.0504789412000077</v>
      </c>
      <c r="H16" s="41">
        <f>D_半導体!H16</f>
        <v>6.6038366080260102</v>
      </c>
      <c r="I16" s="41">
        <f>D_半導体!I16</f>
        <v>8.1601062069076171</v>
      </c>
    </row>
    <row r="17" spans="2:10" ht="16.5" x14ac:dyDescent="0.35">
      <c r="B17" s="21" t="s">
        <v>505</v>
      </c>
      <c r="C17" s="21" t="s">
        <v>28</v>
      </c>
      <c r="E17" s="41">
        <f>D_半導体!E26</f>
        <v>0</v>
      </c>
      <c r="F17" s="41">
        <f>D_半導体!F26</f>
        <v>2.6711999999999918</v>
      </c>
      <c r="G17" s="41">
        <f>D_半導体!G26</f>
        <v>5.1530438399999916</v>
      </c>
      <c r="H17" s="41">
        <f>D_半導体!H26</f>
        <v>6.5785337855999897</v>
      </c>
      <c r="I17" s="41">
        <f>D_半導体!I26</f>
        <v>7.9675165871615983</v>
      </c>
    </row>
    <row r="18" spans="2:10" ht="16.5" x14ac:dyDescent="0.35">
      <c r="B18" s="21" t="s">
        <v>506</v>
      </c>
      <c r="C18" s="21" t="s">
        <v>28</v>
      </c>
      <c r="E18" s="41">
        <f>D_Zoox!E10</f>
        <v>0</v>
      </c>
      <c r="F18" s="41">
        <f>D_Zoox!F10</f>
        <v>15</v>
      </c>
      <c r="G18" s="41">
        <f>D_Zoox!G10</f>
        <v>15</v>
      </c>
      <c r="H18" s="41">
        <f>D_Zoox!H10</f>
        <v>15</v>
      </c>
      <c r="I18" s="41">
        <f>D_Zoox!I10</f>
        <v>15</v>
      </c>
    </row>
    <row r="19" spans="2:10" ht="16.5" x14ac:dyDescent="0.35">
      <c r="B19" s="42" t="s">
        <v>507</v>
      </c>
      <c r="C19" s="21" t="s">
        <v>28</v>
      </c>
      <c r="E19" s="58">
        <f>E10+E13+E14+E15</f>
        <v>12370</v>
      </c>
      <c r="F19" s="58">
        <f>F10+F13+F14+F15</f>
        <v>13588.681999999999</v>
      </c>
      <c r="G19" s="58">
        <f>G10+G13+G14+G15</f>
        <v>14715.946268936001</v>
      </c>
      <c r="H19" s="58">
        <f>H10+H13+H14+H15</f>
        <v>15833.47100327828</v>
      </c>
      <c r="I19" s="58">
        <f>I10+I13+I14+I15</f>
        <v>16468.897902454861</v>
      </c>
    </row>
    <row r="20" spans="2:10" ht="16.5" x14ac:dyDescent="0.35">
      <c r="B20" s="42" t="s">
        <v>508</v>
      </c>
      <c r="C20" s="21" t="s">
        <v>28</v>
      </c>
      <c r="E20" s="58">
        <f>E11+E16+E17+E18</f>
        <v>900</v>
      </c>
      <c r="F20" s="58">
        <f>F11+F16+F17+F18</f>
        <v>1134.8103666666668</v>
      </c>
      <c r="G20" s="58">
        <f>G11+G16+G17+G18</f>
        <v>1358.5368561145333</v>
      </c>
      <c r="H20" s="58">
        <f>H11+H16+H17+H18</f>
        <v>1578.1823703936261</v>
      </c>
      <c r="I20" s="58">
        <f>I11+I16+I17+I18</f>
        <v>1663.9276227940693</v>
      </c>
    </row>
    <row r="22" spans="2:10" ht="20.100000000000001" customHeight="1" x14ac:dyDescent="0.35">
      <c r="B22" s="22" t="s">
        <v>509</v>
      </c>
      <c r="C22" s="4"/>
      <c r="D22" s="4"/>
      <c r="E22" s="4"/>
      <c r="F22" s="4"/>
      <c r="G22" s="4"/>
      <c r="H22" s="4"/>
      <c r="I22" s="4"/>
      <c r="J22" s="4"/>
    </row>
    <row r="23" spans="2:10" ht="16.5" x14ac:dyDescent="0.35">
      <c r="B23" s="21" t="s">
        <v>139</v>
      </c>
      <c r="C23" s="21" t="s">
        <v>28</v>
      </c>
      <c r="E23" s="46">
        <f>前提!$D$38</f>
        <v>3490</v>
      </c>
      <c r="F23" s="46">
        <f>E23*(1+前提!$D$54)</f>
        <v>3524.9</v>
      </c>
      <c r="G23" s="46">
        <f>F23*(1+前提!$D$54)</f>
        <v>3560.1490000000003</v>
      </c>
      <c r="H23" s="46">
        <f>G23*(1+前提!$D$54)</f>
        <v>3595.7504900000004</v>
      </c>
      <c r="I23" s="46">
        <f>H23*(1+前提!$D$54)</f>
        <v>3631.7079949000004</v>
      </c>
    </row>
    <row r="24" spans="2:10" ht="16.5" x14ac:dyDescent="0.35">
      <c r="B24" s="21" t="s">
        <v>83</v>
      </c>
      <c r="C24" s="21" t="s">
        <v>28</v>
      </c>
      <c r="E24" s="46">
        <f>前提!E11</f>
        <v>110</v>
      </c>
      <c r="F24" s="46">
        <f>前提!F11</f>
        <v>120</v>
      </c>
      <c r="G24" s="46">
        <f>前提!G11</f>
        <v>140</v>
      </c>
      <c r="H24" s="46">
        <f>前提!H11</f>
        <v>160</v>
      </c>
      <c r="I24" s="46">
        <f>前提!I11</f>
        <v>170</v>
      </c>
    </row>
    <row r="25" spans="2:10" ht="16.5" x14ac:dyDescent="0.35">
      <c r="B25" s="21" t="s">
        <v>510</v>
      </c>
      <c r="C25" s="21" t="s">
        <v>28</v>
      </c>
      <c r="E25" s="46">
        <f>分社化・合併!E30</f>
        <v>6830</v>
      </c>
      <c r="F25" s="46">
        <f>分社化・合併!F30</f>
        <v>6330</v>
      </c>
      <c r="G25" s="46">
        <f>分社化・合併!G30</f>
        <v>0</v>
      </c>
      <c r="H25" s="46">
        <f>分社化・合併!H30</f>
        <v>0</v>
      </c>
      <c r="I25" s="46">
        <f>分社化・合併!I30</f>
        <v>0</v>
      </c>
      <c r="J25" s="5" t="s">
        <v>511</v>
      </c>
    </row>
    <row r="26" spans="2:10" ht="16.5" x14ac:dyDescent="0.35">
      <c r="B26" s="21" t="s">
        <v>512</v>
      </c>
      <c r="C26" s="21" t="s">
        <v>28</v>
      </c>
      <c r="E26" s="46">
        <f>分社化・合併!E31</f>
        <v>-50</v>
      </c>
      <c r="F26" s="46">
        <f>分社化・合併!F31</f>
        <v>-119.63184314238953</v>
      </c>
      <c r="G26" s="46">
        <f>分社化・合併!G31</f>
        <v>0</v>
      </c>
      <c r="H26" s="46">
        <f>分社化・合併!H31</f>
        <v>0</v>
      </c>
      <c r="I26" s="46">
        <f>分社化・合併!I31</f>
        <v>0</v>
      </c>
    </row>
    <row r="27" spans="2:10" ht="16.5" x14ac:dyDescent="0.35">
      <c r="B27" s="21" t="s">
        <v>513</v>
      </c>
      <c r="C27" s="21" t="s">
        <v>28</v>
      </c>
      <c r="E27" s="46">
        <f>分社化・合併!E34</f>
        <v>0</v>
      </c>
      <c r="F27" s="46">
        <f>分社化・合併!F34</f>
        <v>0</v>
      </c>
      <c r="G27" s="46">
        <f>分社化・合併!G34</f>
        <v>-55.742290199672667</v>
      </c>
      <c r="H27" s="46">
        <f>分社化・合併!H34</f>
        <v>-6.7422901996726692</v>
      </c>
      <c r="I27" s="46">
        <f>分社化・合併!I34</f>
        <v>45.62885490016366</v>
      </c>
    </row>
    <row r="28" spans="2:10" ht="16.5" x14ac:dyDescent="0.35">
      <c r="B28" s="21" t="s">
        <v>141</v>
      </c>
      <c r="C28" s="21" t="s">
        <v>28</v>
      </c>
      <c r="E28" s="46">
        <f>前提!$D$40</f>
        <v>1590</v>
      </c>
      <c r="F28" s="46">
        <f>E28*(1+前提!$D$55)</f>
        <v>1590</v>
      </c>
      <c r="G28" s="46">
        <f>F28*(1+前提!$D$55)</f>
        <v>1590</v>
      </c>
      <c r="H28" s="46">
        <f>G28*(1+前提!$D$55)</f>
        <v>1590</v>
      </c>
      <c r="I28" s="46">
        <f>H28*(1+前提!$D$55)</f>
        <v>1590</v>
      </c>
      <c r="J28" s="5" t="s">
        <v>514</v>
      </c>
    </row>
    <row r="29" spans="2:10" ht="16.5" x14ac:dyDescent="0.35">
      <c r="B29" s="21" t="s">
        <v>97</v>
      </c>
      <c r="C29" s="21" t="s">
        <v>28</v>
      </c>
      <c r="E29" s="46">
        <f>前提!E16</f>
        <v>40</v>
      </c>
      <c r="F29" s="46">
        <f>前提!F16</f>
        <v>0</v>
      </c>
      <c r="G29" s="46">
        <f>前提!G16</f>
        <v>0</v>
      </c>
      <c r="H29" s="46">
        <f>前提!H16</f>
        <v>0</v>
      </c>
      <c r="I29" s="46">
        <f>前提!I16</f>
        <v>0</v>
      </c>
    </row>
    <row r="30" spans="2:10" ht="16.5" x14ac:dyDescent="0.35">
      <c r="B30" s="21" t="s">
        <v>142</v>
      </c>
      <c r="C30" s="21" t="s">
        <v>28</v>
      </c>
      <c r="E30" s="46">
        <f>前提!$D$41</f>
        <v>13720</v>
      </c>
      <c r="F30" s="46">
        <f>E30*(1+前提!$D$56)</f>
        <v>14268.800000000001</v>
      </c>
      <c r="G30" s="46">
        <f>F30*(1+前提!$D$56)</f>
        <v>14839.552000000001</v>
      </c>
      <c r="H30" s="46">
        <f>G30*(1+前提!$D$56)</f>
        <v>15433.134080000002</v>
      </c>
      <c r="I30" s="46">
        <f>H30*(1+前提!$D$56)</f>
        <v>16050.459443200003</v>
      </c>
    </row>
    <row r="31" spans="2:10" ht="16.5" x14ac:dyDescent="0.35">
      <c r="B31" s="21" t="s">
        <v>94</v>
      </c>
      <c r="C31" s="21" t="s">
        <v>28</v>
      </c>
      <c r="E31" s="46">
        <f>前提!E15</f>
        <v>2050</v>
      </c>
      <c r="F31" s="46">
        <f>前提!F15</f>
        <v>2150</v>
      </c>
      <c r="G31" s="46">
        <f>前提!G15</f>
        <v>2260</v>
      </c>
      <c r="H31" s="46">
        <f>前提!H15</f>
        <v>2370</v>
      </c>
      <c r="I31" s="46">
        <f>前提!I15</f>
        <v>2480</v>
      </c>
    </row>
    <row r="33" spans="2:10" ht="20.100000000000001" customHeight="1" x14ac:dyDescent="0.35">
      <c r="B33" s="22" t="s">
        <v>515</v>
      </c>
      <c r="C33" s="4"/>
      <c r="D33" s="4"/>
      <c r="E33" s="4"/>
      <c r="F33" s="4"/>
      <c r="G33" s="4"/>
      <c r="H33" s="4"/>
      <c r="I33" s="4"/>
      <c r="J33" s="4"/>
    </row>
    <row r="34" spans="2:10" ht="16.5" x14ac:dyDescent="0.35">
      <c r="B34" s="42" t="s">
        <v>516</v>
      </c>
      <c r="C34" s="21" t="s">
        <v>28</v>
      </c>
      <c r="E34" s="58">
        <f>E19+E23+E25+E28+E30</f>
        <v>38000</v>
      </c>
      <c r="F34" s="58">
        <f>F19+F23+F25+F28+F30</f>
        <v>39302.381999999998</v>
      </c>
      <c r="G34" s="58">
        <f>G19+G23+G25+G28+G30</f>
        <v>34705.647268936002</v>
      </c>
      <c r="H34" s="58">
        <f>H19+H23+H25+H28+H30</f>
        <v>36452.355573278284</v>
      </c>
      <c r="I34" s="58">
        <f>I19+I23+I25+I28+I30</f>
        <v>37741.065340554866</v>
      </c>
    </row>
    <row r="35" spans="2:10" ht="16.5" x14ac:dyDescent="0.35">
      <c r="B35" s="42" t="s">
        <v>517</v>
      </c>
      <c r="C35" s="21" t="s">
        <v>28</v>
      </c>
      <c r="E35" s="58">
        <f>E20+E24+E26+E27+E29+E31</f>
        <v>3050</v>
      </c>
      <c r="F35" s="58">
        <f>F20+F24+F26+F27+F29+F31</f>
        <v>3285.1785235242774</v>
      </c>
      <c r="G35" s="58">
        <f>G20+G24+G26+G27+G29+G31</f>
        <v>3702.7945659148609</v>
      </c>
      <c r="H35" s="58">
        <f>H20+H24+H26+H27+H29+H31</f>
        <v>4101.4400801939537</v>
      </c>
      <c r="I35" s="58">
        <f>I20+I24+I26+I27+I29+I31</f>
        <v>4359.5564776942329</v>
      </c>
    </row>
    <row r="36" spans="2:10" ht="16.5" x14ac:dyDescent="0.35">
      <c r="B36" s="21" t="s">
        <v>518</v>
      </c>
      <c r="C36" s="21" t="s">
        <v>31</v>
      </c>
      <c r="E36" s="59">
        <f>E35/E34</f>
        <v>8.0263157894736842E-2</v>
      </c>
      <c r="F36" s="59">
        <f>F35/F34</f>
        <v>8.3587262561446718E-2</v>
      </c>
      <c r="G36" s="59">
        <f>G35/G34</f>
        <v>0.10669141356799079</v>
      </c>
      <c r="H36" s="59">
        <f>H35/H34</f>
        <v>0.1125150903334365</v>
      </c>
      <c r="I36" s="59">
        <f>I35/I34</f>
        <v>0.1155122792204185</v>
      </c>
    </row>
    <row r="38" spans="2:10" ht="20.100000000000001" customHeight="1" x14ac:dyDescent="0.35">
      <c r="B38" s="22" t="s">
        <v>519</v>
      </c>
      <c r="C38" s="4"/>
      <c r="D38" s="4"/>
      <c r="E38" s="4"/>
      <c r="F38" s="4"/>
      <c r="G38" s="4"/>
      <c r="H38" s="4"/>
      <c r="I38" s="4"/>
      <c r="J38" s="4"/>
    </row>
    <row r="39" spans="2:10" ht="16.5" x14ac:dyDescent="0.35">
      <c r="B39" s="21" t="s">
        <v>348</v>
      </c>
      <c r="C39" s="21" t="s">
        <v>28</v>
      </c>
      <c r="E39" s="45">
        <f t="shared" ref="E39:I41" si="0">E16</f>
        <v>0</v>
      </c>
      <c r="F39" s="45">
        <f t="shared" si="0"/>
        <v>0.47249999999999875</v>
      </c>
      <c r="G39" s="45">
        <f t="shared" si="0"/>
        <v>5.0504789412000077</v>
      </c>
      <c r="H39" s="45">
        <f t="shared" si="0"/>
        <v>6.6038366080260102</v>
      </c>
      <c r="I39" s="45">
        <f t="shared" si="0"/>
        <v>8.1601062069076171</v>
      </c>
    </row>
    <row r="40" spans="2:10" ht="16.5" x14ac:dyDescent="0.35">
      <c r="B40" s="21" t="s">
        <v>371</v>
      </c>
      <c r="C40" s="21" t="s">
        <v>28</v>
      </c>
      <c r="E40" s="45">
        <f t="shared" si="0"/>
        <v>0</v>
      </c>
      <c r="F40" s="45">
        <f t="shared" si="0"/>
        <v>2.6711999999999918</v>
      </c>
      <c r="G40" s="45">
        <f t="shared" si="0"/>
        <v>5.1530438399999916</v>
      </c>
      <c r="H40" s="45">
        <f t="shared" si="0"/>
        <v>6.5785337855999897</v>
      </c>
      <c r="I40" s="45">
        <f t="shared" si="0"/>
        <v>7.9675165871615983</v>
      </c>
    </row>
    <row r="41" spans="2:10" ht="16.5" x14ac:dyDescent="0.35">
      <c r="B41" s="21" t="s">
        <v>520</v>
      </c>
      <c r="C41" s="21" t="s">
        <v>28</v>
      </c>
      <c r="E41" s="45">
        <f t="shared" si="0"/>
        <v>0</v>
      </c>
      <c r="F41" s="45">
        <f t="shared" si="0"/>
        <v>15</v>
      </c>
      <c r="G41" s="45">
        <f t="shared" si="0"/>
        <v>15</v>
      </c>
      <c r="H41" s="45">
        <f t="shared" si="0"/>
        <v>15</v>
      </c>
      <c r="I41" s="45">
        <f t="shared" si="0"/>
        <v>15</v>
      </c>
    </row>
    <row r="42" spans="2:10" ht="16.5" x14ac:dyDescent="0.35">
      <c r="B42" s="21" t="s">
        <v>521</v>
      </c>
      <c r="C42" s="21" t="s">
        <v>28</v>
      </c>
      <c r="E42" s="41">
        <f>D_石化!E8*IF(分社化・合併!E6=1,前提!$D$102*前提!$D$103*(1-前提!$D$105),1)</f>
        <v>0</v>
      </c>
      <c r="F42" s="41">
        <f>D_石化!F8*IF(分社化・合併!F6=1,前提!$D$102*前提!$D$103*(1-前提!$D$105),1)</f>
        <v>30.368156857610476</v>
      </c>
      <c r="G42" s="41">
        <f>D_石化!G8*IF(分社化・合併!G6=1,前提!$D$102*前提!$D$103*(1-前提!$D$105),1)</f>
        <v>21.257709800327333</v>
      </c>
      <c r="H42" s="41">
        <f>D_石化!H8*IF(分社化・合併!H6=1,前提!$D$102*前提!$D$103*(1-前提!$D$105),1)</f>
        <v>21.257709800327333</v>
      </c>
      <c r="I42" s="41">
        <f>D_石化!I8*IF(分社化・合併!I6=1,前提!$D$102*前提!$D$103*(1-前提!$D$105),1)</f>
        <v>21.257709800327333</v>
      </c>
      <c r="J42" s="5" t="s">
        <v>522</v>
      </c>
    </row>
    <row r="43" spans="2:10" ht="16.5" x14ac:dyDescent="0.35">
      <c r="B43" s="21" t="s">
        <v>523</v>
      </c>
      <c r="C43" s="21" t="s">
        <v>28</v>
      </c>
      <c r="E43" s="41">
        <f>D_石化!E12*IF(分社化・合併!E6=1,前提!$D$102*前提!$D$103*(1-前提!$D$105),1)</f>
        <v>0</v>
      </c>
      <c r="F43" s="41">
        <f>D_石化!F12*IF(分社化・合併!F6=1,前提!$D$102*前提!$D$103*(1-前提!$D$105),1)</f>
        <v>0</v>
      </c>
      <c r="G43" s="41">
        <f>D_石化!G12*IF(分社化・合併!G6=1,前提!$D$102*前提!$D$103*(1-前提!$D$105),1)</f>
        <v>0</v>
      </c>
      <c r="H43" s="41">
        <f>D_石化!H12*IF(分社化・合併!H6=1,前提!$D$102*前提!$D$103*(1-前提!$D$105),1)</f>
        <v>0</v>
      </c>
      <c r="I43" s="41">
        <f>D_石化!I12*IF(分社化・合併!I6=1,前提!$D$102*前提!$D$103*(1-前提!$D$105),1)</f>
        <v>45.371145099836333</v>
      </c>
      <c r="J43" s="5" t="s">
        <v>524</v>
      </c>
    </row>
    <row r="44" spans="2:10" ht="16.5" x14ac:dyDescent="0.35">
      <c r="B44" s="21" t="s">
        <v>525</v>
      </c>
      <c r="C44" s="21" t="s">
        <v>28</v>
      </c>
      <c r="E44" s="41">
        <f>分社化・合併!E32*前提!$D$102*(1-前提!$D$105)</f>
        <v>0</v>
      </c>
      <c r="F44" s="41">
        <f>分社化・合併!F32*前提!$D$102*(1-前提!$D$105)</f>
        <v>0</v>
      </c>
      <c r="G44" s="41">
        <f>分社化・合併!G32*前提!$D$102*(1-前提!$D$105)</f>
        <v>0</v>
      </c>
      <c r="H44" s="41">
        <f>分社化・合併!H32*前提!$D$102*(1-前提!$D$105)</f>
        <v>35</v>
      </c>
      <c r="I44" s="41">
        <f>分社化・合併!I32*前提!$D$102*(1-前提!$D$105)</f>
        <v>35</v>
      </c>
      <c r="J44" s="5" t="s">
        <v>526</v>
      </c>
    </row>
    <row r="45" spans="2:10" ht="16.5" x14ac:dyDescent="0.35">
      <c r="B45" s="42" t="s">
        <v>527</v>
      </c>
      <c r="C45" s="21" t="s">
        <v>28</v>
      </c>
      <c r="E45" s="43">
        <f>E39+E40+E41+E42+E43+E44</f>
        <v>0</v>
      </c>
      <c r="F45" s="43">
        <f>F39+F40+F41+F42+F43+F44</f>
        <v>48.511856857610468</v>
      </c>
      <c r="G45" s="43">
        <f>G39+G40+G41+G42+G43+G44</f>
        <v>46.461232581527334</v>
      </c>
      <c r="H45" s="43">
        <f>H39+H40+H41+H42+H43+H44</f>
        <v>84.440080193953335</v>
      </c>
      <c r="I45" s="43">
        <f>I39+I40+I41+I42+I43+I44</f>
        <v>132.75647769423287</v>
      </c>
    </row>
  </sheetData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J58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528</v>
      </c>
    </row>
    <row r="2" spans="2:10" ht="16.5" x14ac:dyDescent="0.35">
      <c r="B2" s="21" t="s">
        <v>529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530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42" t="s">
        <v>339</v>
      </c>
      <c r="C6" s="21" t="s">
        <v>28</v>
      </c>
      <c r="D6" s="53">
        <f>前提!$D$132</f>
        <v>37040</v>
      </c>
      <c r="E6" s="53">
        <f>セグメント!E34</f>
        <v>38000</v>
      </c>
      <c r="F6" s="53">
        <f>セグメント!F34</f>
        <v>39302.381999999998</v>
      </c>
      <c r="G6" s="53">
        <f>セグメント!G34</f>
        <v>34705.647268936002</v>
      </c>
      <c r="H6" s="53">
        <f>セグメント!H34</f>
        <v>36452.355573278284</v>
      </c>
      <c r="I6" s="53">
        <f>セグメント!I34</f>
        <v>37741.065340554866</v>
      </c>
      <c r="J6" s="5" t="s">
        <v>531</v>
      </c>
    </row>
    <row r="7" spans="2:10" ht="16.5" x14ac:dyDescent="0.35">
      <c r="B7" s="42" t="s">
        <v>341</v>
      </c>
      <c r="C7" s="21" t="s">
        <v>28</v>
      </c>
      <c r="E7" s="53">
        <f>セグメント!E35</f>
        <v>3050</v>
      </c>
      <c r="F7" s="53">
        <f>セグメント!F35</f>
        <v>3285.1785235242774</v>
      </c>
      <c r="G7" s="53">
        <f>セグメント!G35</f>
        <v>3702.7945659148609</v>
      </c>
      <c r="H7" s="53">
        <f>セグメント!H35</f>
        <v>4101.4400801939537</v>
      </c>
      <c r="I7" s="53">
        <f>セグメント!I35</f>
        <v>4359.5564776942329</v>
      </c>
    </row>
    <row r="8" spans="2:10" ht="16.5" x14ac:dyDescent="0.35">
      <c r="B8" s="21" t="s">
        <v>532</v>
      </c>
      <c r="C8" s="21" t="s">
        <v>28</v>
      </c>
      <c r="E8" s="41">
        <f>セグメント!E27</f>
        <v>0</v>
      </c>
      <c r="F8" s="41">
        <f>セグメント!F27</f>
        <v>0</v>
      </c>
      <c r="G8" s="41">
        <f>セグメント!G27</f>
        <v>-55.742290199672667</v>
      </c>
      <c r="H8" s="41">
        <f>セグメント!H27</f>
        <v>-6.7422901996726692</v>
      </c>
      <c r="I8" s="41">
        <f>セグメント!I27</f>
        <v>45.62885490016366</v>
      </c>
    </row>
    <row r="9" spans="2:10" ht="16.5" x14ac:dyDescent="0.35">
      <c r="B9" s="21" t="s">
        <v>533</v>
      </c>
      <c r="C9" s="21" t="s">
        <v>28</v>
      </c>
      <c r="E9" s="46">
        <f>前提!E17</f>
        <v>-50</v>
      </c>
      <c r="F9" s="46">
        <f>前提!F17</f>
        <v>-350</v>
      </c>
      <c r="G9" s="46">
        <f>前提!G17</f>
        <v>-400</v>
      </c>
      <c r="H9" s="46">
        <f>前提!H17</f>
        <v>-300</v>
      </c>
      <c r="I9" s="46">
        <f>前提!I17</f>
        <v>-300</v>
      </c>
    </row>
    <row r="10" spans="2:10" ht="16.5" x14ac:dyDescent="0.35">
      <c r="B10" s="21" t="s">
        <v>534</v>
      </c>
      <c r="C10" s="21" t="s">
        <v>28</v>
      </c>
      <c r="E10" s="46">
        <f>分社化・合併!E9</f>
        <v>0</v>
      </c>
      <c r="F10" s="46">
        <f>分社化・合併!F9</f>
        <v>-50</v>
      </c>
      <c r="G10" s="46">
        <f>分社化・合併!G9</f>
        <v>0</v>
      </c>
      <c r="H10" s="46">
        <f>分社化・合併!H9</f>
        <v>0</v>
      </c>
      <c r="I10" s="46">
        <f>分社化・合併!I9</f>
        <v>0</v>
      </c>
    </row>
    <row r="11" spans="2:10" ht="16.5" x14ac:dyDescent="0.35">
      <c r="B11" s="21" t="s">
        <v>535</v>
      </c>
      <c r="C11" s="21" t="s">
        <v>28</v>
      </c>
      <c r="E11" s="46">
        <f>分社化・合併!E23</f>
        <v>0</v>
      </c>
      <c r="F11" s="46">
        <f>分社化・合併!F23</f>
        <v>0</v>
      </c>
      <c r="G11" s="46">
        <f>分社化・合併!G23</f>
        <v>-3852.4537411980364</v>
      </c>
      <c r="H11" s="46">
        <f>分社化・合併!H23</f>
        <v>0</v>
      </c>
      <c r="I11" s="46">
        <f>分社化・合併!I23</f>
        <v>0</v>
      </c>
    </row>
    <row r="12" spans="2:10" ht="16.5" x14ac:dyDescent="0.35">
      <c r="B12" s="21" t="s">
        <v>536</v>
      </c>
      <c r="C12" s="21" t="s">
        <v>28</v>
      </c>
      <c r="E12" s="46">
        <f>連結BS!D16-分社化・合併!E26</f>
        <v>14648</v>
      </c>
      <c r="F12" s="46">
        <f>連結BS!E16-分社化・合併!F26</f>
        <v>14001.464669999998</v>
      </c>
      <c r="G12" s="46">
        <f>連結BS!F16-分社化・合併!G26</f>
        <v>12827.725080789765</v>
      </c>
      <c r="H12" s="46">
        <f>連結BS!G16-分社化・合併!H26</f>
        <v>11733.495654785111</v>
      </c>
      <c r="I12" s="46">
        <f>連結BS!H16-分社化・合併!I26</f>
        <v>10251.112245439672</v>
      </c>
      <c r="J12" s="5" t="s">
        <v>537</v>
      </c>
    </row>
    <row r="13" spans="2:10" ht="16.5" x14ac:dyDescent="0.35">
      <c r="B13" s="21" t="s">
        <v>538</v>
      </c>
      <c r="C13" s="21" t="s">
        <v>28</v>
      </c>
      <c r="E13" s="46">
        <f>E12*前提!$D$121</f>
        <v>292.95999999999998</v>
      </c>
      <c r="F13" s="46">
        <f>F12*前提!$D$121</f>
        <v>280.02929339999997</v>
      </c>
      <c r="G13" s="46">
        <f>G12*前提!$D$121</f>
        <v>256.55450161579529</v>
      </c>
      <c r="H13" s="46">
        <f>H12*前提!$D$121</f>
        <v>234.66991309570221</v>
      </c>
      <c r="I13" s="46">
        <f>I12*前提!$D$121</f>
        <v>205.02224490879345</v>
      </c>
      <c r="J13" s="5" t="s">
        <v>539</v>
      </c>
    </row>
    <row r="14" spans="2:10" ht="16.5" x14ac:dyDescent="0.35">
      <c r="B14" s="21" t="s">
        <v>540</v>
      </c>
      <c r="C14" s="21" t="s">
        <v>28</v>
      </c>
      <c r="E14" s="51">
        <f>E7+E9+E10-E13</f>
        <v>2707.04</v>
      </c>
      <c r="F14" s="51">
        <f>F7+F9+F10-F13</f>
        <v>2605.1492301242774</v>
      </c>
      <c r="G14" s="51">
        <f>G7+G9+G10-G13</f>
        <v>3046.2400642990656</v>
      </c>
      <c r="H14" s="51">
        <f>H7+H9+H10-H13</f>
        <v>3566.7701670982515</v>
      </c>
      <c r="I14" s="51">
        <f>I7+I9+I10-I13</f>
        <v>3854.5342327854396</v>
      </c>
    </row>
    <row r="15" spans="2:10" ht="16.5" x14ac:dyDescent="0.35">
      <c r="B15" s="21" t="s">
        <v>541</v>
      </c>
      <c r="C15" s="21" t="s">
        <v>28</v>
      </c>
      <c r="E15" s="46">
        <f>-E14*前提!$D$122</f>
        <v>-730.9008</v>
      </c>
      <c r="F15" s="46">
        <f>-F14*前提!$D$122</f>
        <v>-703.39029213355491</v>
      </c>
      <c r="G15" s="46">
        <f>-G14*前提!$D$122</f>
        <v>-822.4848173607478</v>
      </c>
      <c r="H15" s="46">
        <f>-H14*前提!$D$122</f>
        <v>-963.02794511652792</v>
      </c>
      <c r="I15" s="46">
        <f>-I14*前提!$D$122</f>
        <v>-1040.7242428520688</v>
      </c>
    </row>
    <row r="16" spans="2:10" ht="16.5" x14ac:dyDescent="0.35">
      <c r="B16" s="21" t="s">
        <v>542</v>
      </c>
      <c r="C16" s="21" t="s">
        <v>28</v>
      </c>
      <c r="E16" s="41">
        <f>前提!$D$32*E8*前提!$D$122</f>
        <v>0</v>
      </c>
      <c r="F16" s="41">
        <f>前提!$D$32*F8*前提!$D$122</f>
        <v>0</v>
      </c>
      <c r="G16" s="41">
        <f>前提!$D$32*G8*前提!$D$122</f>
        <v>-15.050418353911621</v>
      </c>
      <c r="H16" s="41">
        <f>前提!$D$32*H8*前提!$D$122</f>
        <v>-1.8204183539116208</v>
      </c>
      <c r="I16" s="41">
        <f>前提!$D$32*I8*前提!$D$122</f>
        <v>12.319790823044189</v>
      </c>
      <c r="J16" s="5" t="s">
        <v>543</v>
      </c>
    </row>
    <row r="17" spans="2:10" ht="16.5" x14ac:dyDescent="0.35">
      <c r="B17" s="21" t="s">
        <v>544</v>
      </c>
      <c r="C17" s="21" t="s">
        <v>28</v>
      </c>
      <c r="E17" s="46">
        <f>E11*(1-前提!$D$108)</f>
        <v>0</v>
      </c>
      <c r="F17" s="46">
        <f>F11*(1-前提!$D$108)</f>
        <v>0</v>
      </c>
      <c r="G17" s="46">
        <f>G11*(1-前提!$D$108)</f>
        <v>-2696.7176188386252</v>
      </c>
      <c r="H17" s="46">
        <f>H11*(1-前提!$D$108)</f>
        <v>0</v>
      </c>
      <c r="I17" s="46">
        <f>I11*(1-前提!$D$108)</f>
        <v>0</v>
      </c>
    </row>
    <row r="18" spans="2:10" ht="16.5" x14ac:dyDescent="0.35">
      <c r="B18" s="21" t="s">
        <v>545</v>
      </c>
      <c r="C18" s="21" t="s">
        <v>28</v>
      </c>
      <c r="E18" s="51">
        <f>E14+E15+E16+E17</f>
        <v>1976.1392000000001</v>
      </c>
      <c r="F18" s="51">
        <f>F14+F15+F16+F17</f>
        <v>1901.7589379907226</v>
      </c>
      <c r="G18" s="51">
        <f>G14+G15+G16+G17</f>
        <v>-488.012790254219</v>
      </c>
      <c r="H18" s="51">
        <f>H14+H15+H16+H17</f>
        <v>2601.9218036278121</v>
      </c>
      <c r="I18" s="51">
        <f>I14+I15+I16+I17</f>
        <v>2826.1297807564151</v>
      </c>
    </row>
    <row r="19" spans="2:10" ht="16.5" x14ac:dyDescent="0.35">
      <c r="B19" s="21" t="s">
        <v>546</v>
      </c>
      <c r="C19" s="21" t="s">
        <v>28</v>
      </c>
      <c r="E19" s="46">
        <f>前提!$D$114*セグメント!E31/セグメント!$E$31</f>
        <v>1310</v>
      </c>
      <c r="F19" s="46">
        <f>前提!$D$114*セグメント!F31/セグメント!$E$31</f>
        <v>1373.9024390243903</v>
      </c>
      <c r="G19" s="46">
        <f>前提!$D$114*セグメント!G31/セグメント!$E$31</f>
        <v>1444.1951219512196</v>
      </c>
      <c r="H19" s="46">
        <f>前提!$D$114*セグメント!H31/セグメント!$E$31</f>
        <v>1514.4878048780488</v>
      </c>
      <c r="I19" s="46">
        <f>前提!$D$114*セグメント!I31/セグメント!$E$31</f>
        <v>1584.780487804878</v>
      </c>
      <c r="J19" s="5" t="s">
        <v>547</v>
      </c>
    </row>
    <row r="20" spans="2:10" ht="16.5" x14ac:dyDescent="0.35">
      <c r="B20" s="21" t="s">
        <v>548</v>
      </c>
      <c r="C20" s="21" t="s">
        <v>28</v>
      </c>
      <c r="E20" s="46">
        <f>前提!$D$115*E19+前提!$D$117</f>
        <v>697.27099999999996</v>
      </c>
      <c r="F20" s="46">
        <f>前提!$D$115*F19+前提!$D$117</f>
        <v>728.84519512195129</v>
      </c>
      <c r="G20" s="46">
        <f>前提!$D$115*G19+前提!$D$117</f>
        <v>763.57680975609753</v>
      </c>
      <c r="H20" s="46">
        <f>前提!$D$115*H19+前提!$D$117</f>
        <v>798.30842439024389</v>
      </c>
      <c r="I20" s="46">
        <f>前提!$D$115*I19+前提!$D$117</f>
        <v>833.04003902439024</v>
      </c>
      <c r="J20" s="5" t="s">
        <v>549</v>
      </c>
    </row>
    <row r="21" spans="2:10" ht="16.5" x14ac:dyDescent="0.35">
      <c r="B21" s="42" t="s">
        <v>550</v>
      </c>
      <c r="C21" s="21" t="s">
        <v>28</v>
      </c>
      <c r="E21" s="58">
        <f>E18-E20</f>
        <v>1278.8682000000001</v>
      </c>
      <c r="F21" s="58">
        <f>F18-F20</f>
        <v>1172.9137428687714</v>
      </c>
      <c r="G21" s="58">
        <f>G18-G20</f>
        <v>-1251.5896000103166</v>
      </c>
      <c r="H21" s="58">
        <f>H18-H20</f>
        <v>1803.6133792375681</v>
      </c>
      <c r="I21" s="58">
        <f>I18-I20</f>
        <v>1993.0897417320248</v>
      </c>
    </row>
    <row r="22" spans="2:10" ht="16.5" x14ac:dyDescent="0.35">
      <c r="B22" s="42" t="s">
        <v>342</v>
      </c>
      <c r="C22" s="21" t="s">
        <v>147</v>
      </c>
      <c r="E22" s="44">
        <f>E21/前提!$D$124*100</f>
        <v>94.124398321925369</v>
      </c>
      <c r="F22" s="44">
        <f>F21/前提!$D$124*100</f>
        <v>86.32617523138083</v>
      </c>
      <c r="G22" s="44">
        <f>G21/前提!$D$124*100</f>
        <v>-92.116699787319973</v>
      </c>
      <c r="H22" s="44">
        <f>H21/前提!$D$124*100</f>
        <v>132.74551992622122</v>
      </c>
      <c r="I22" s="44">
        <f>I21/前提!$D$124*100</f>
        <v>146.69093558048317</v>
      </c>
      <c r="J22" s="5" t="s">
        <v>551</v>
      </c>
    </row>
    <row r="23" spans="2:10" ht="16.5" x14ac:dyDescent="0.35">
      <c r="B23" s="21" t="s">
        <v>552</v>
      </c>
      <c r="C23" s="21" t="s">
        <v>28</v>
      </c>
      <c r="E23" s="46">
        <f>MAX(前提!$D$125*前提!$D$124/100,前提!$D$126*E21)</f>
        <v>447.60387000000003</v>
      </c>
      <c r="F23" s="46">
        <f>MAX(前提!$D$125*前提!$D$124/100,前提!$D$126*F21)</f>
        <v>434.78399999999999</v>
      </c>
      <c r="G23" s="46">
        <f>MAX(前提!$D$125*前提!$D$124/100,前提!$D$126*G21)</f>
        <v>434.78399999999999</v>
      </c>
      <c r="H23" s="46">
        <f>MAX(前提!$D$125*前提!$D$124/100,前提!$D$126*H21)</f>
        <v>631.26468273314879</v>
      </c>
      <c r="I23" s="46">
        <f>MAX(前提!$D$125*前提!$D$124/100,前提!$D$126*I21)</f>
        <v>697.58140960620858</v>
      </c>
      <c r="J23" s="5" t="s">
        <v>553</v>
      </c>
    </row>
    <row r="24" spans="2:10" ht="16.5" x14ac:dyDescent="0.35">
      <c r="B24" s="21" t="s">
        <v>554</v>
      </c>
      <c r="C24" s="21" t="s">
        <v>28</v>
      </c>
      <c r="E24" s="46">
        <f>前提!$D$118*E19/$E$19</f>
        <v>141</v>
      </c>
      <c r="F24" s="46">
        <f>前提!$D$118*F19/$E$19</f>
        <v>147.87804878048783</v>
      </c>
      <c r="G24" s="46">
        <f>前提!$D$118*G19/$E$19</f>
        <v>155.44390243902441</v>
      </c>
      <c r="H24" s="46">
        <f>前提!$D$118*H19/$E$19</f>
        <v>163.00975609756097</v>
      </c>
      <c r="I24" s="46">
        <f>前提!$D$118*I19/$E$19</f>
        <v>170.57560975609755</v>
      </c>
      <c r="J24" s="5" t="s">
        <v>555</v>
      </c>
    </row>
    <row r="25" spans="2:10" ht="33" x14ac:dyDescent="0.35">
      <c r="B25" s="42" t="s">
        <v>343</v>
      </c>
      <c r="C25" s="21" t="s">
        <v>31</v>
      </c>
      <c r="E25" s="56">
        <f>((E7-前提!$D$32*E8)*(1-前提!$D$123)+前提!$D$32*E8)/AVERAGE(連結BS!D20,連結BS!E20)</f>
        <v>4.8894436110888458E-2</v>
      </c>
      <c r="F25" s="56">
        <f>((F7-前提!$D$32*F8)*(1-前提!$D$123)+前提!$D$32*F8)/AVERAGE(連結BS!E20,連結BS!F20)</f>
        <v>5.1841602059690614E-2</v>
      </c>
      <c r="G25" s="56">
        <f>((G7-前提!$D$32*G8)*(1-前提!$D$123)+前提!$D$32*G8)/AVERAGE(連結BS!F20,連結BS!G20)</f>
        <v>5.9412302375867518E-2</v>
      </c>
      <c r="H25" s="56">
        <f>((H7-前提!$D$32*H8)*(1-前提!$D$123)+前提!$D$32*H8)/AVERAGE(連結BS!G20,連結BS!H20)</f>
        <v>6.8031349742393193E-2</v>
      </c>
      <c r="I25" s="56">
        <f>((I7-前提!$D$32*I8)*(1-前提!$D$123)+前提!$D$32*I8)/AVERAGE(連結BS!H20,連結BS!I20)</f>
        <v>7.2188340930817066E-2</v>
      </c>
      <c r="J25" s="5" t="s">
        <v>556</v>
      </c>
    </row>
    <row r="26" spans="2:10" ht="33" x14ac:dyDescent="0.35">
      <c r="B26" s="42" t="s">
        <v>557</v>
      </c>
      <c r="C26" s="21" t="s">
        <v>22</v>
      </c>
      <c r="E26" s="61">
        <f>連結BS!E21</f>
        <v>0.75895837242700637</v>
      </c>
      <c r="F26" s="61">
        <f>連結BS!F21</f>
        <v>0.69464460232453606</v>
      </c>
      <c r="G26" s="61">
        <f>連結BS!G21</f>
        <v>0.67048468160269292</v>
      </c>
      <c r="H26" s="61">
        <f>連結BS!H21</f>
        <v>0.54899901305825838</v>
      </c>
      <c r="I26" s="61">
        <f>連結BS!I21</f>
        <v>0.42829163006431814</v>
      </c>
      <c r="J26" s="5" t="s">
        <v>558</v>
      </c>
    </row>
    <row r="28" spans="2:10" ht="20.100000000000001" customHeight="1" x14ac:dyDescent="0.35">
      <c r="B28" s="22" t="s">
        <v>559</v>
      </c>
      <c r="C28" s="4"/>
      <c r="D28" s="4"/>
      <c r="E28" s="4"/>
      <c r="F28" s="4"/>
      <c r="G28" s="4"/>
      <c r="H28" s="4"/>
      <c r="I28" s="4"/>
      <c r="J28" s="4"/>
    </row>
    <row r="29" spans="2:10" ht="16.5" x14ac:dyDescent="0.35">
      <c r="B29" s="42" t="s">
        <v>339</v>
      </c>
      <c r="C29" s="21" t="s">
        <v>28</v>
      </c>
      <c r="D29" s="58">
        <f>D6</f>
        <v>37040</v>
      </c>
      <c r="E29" s="53">
        <f>E6+D_JSR!E47</f>
        <v>38000</v>
      </c>
      <c r="F29" s="53">
        <f>F6+D_JSR!F47</f>
        <v>39302.381999999998</v>
      </c>
      <c r="G29" s="53">
        <f>G6+D_JSR!G47</f>
        <v>34705.647268936002</v>
      </c>
      <c r="H29" s="53">
        <f>H6+D_JSR!H47</f>
        <v>36452.355573278284</v>
      </c>
      <c r="I29" s="53">
        <f>I6+D_JSR!I47</f>
        <v>37741.065340554866</v>
      </c>
      <c r="J29" s="5" t="s">
        <v>560</v>
      </c>
    </row>
    <row r="30" spans="2:10" ht="16.5" x14ac:dyDescent="0.35">
      <c r="B30" s="42" t="s">
        <v>341</v>
      </c>
      <c r="C30" s="21" t="s">
        <v>28</v>
      </c>
      <c r="E30" s="53">
        <f>E7+D_JSR!E44+D_JSR!E48</f>
        <v>3050</v>
      </c>
      <c r="F30" s="53">
        <f>F7+D_JSR!F44+D_JSR!F48</f>
        <v>3330.1768068442775</v>
      </c>
      <c r="G30" s="53">
        <f>G7+D_JSR!G44+D_JSR!G48</f>
        <v>3809.7994736055166</v>
      </c>
      <c r="H30" s="53">
        <f>H7+D_JSR!H44+D_JSR!H48</f>
        <v>4234.8575304895694</v>
      </c>
      <c r="I30" s="53">
        <f>I7+D_JSR!I44+D_JSR!I48</f>
        <v>4643.2513002096193</v>
      </c>
      <c r="J30" s="5" t="s">
        <v>561</v>
      </c>
    </row>
    <row r="31" spans="2:10" ht="16.5" x14ac:dyDescent="0.35">
      <c r="B31" s="21" t="s">
        <v>532</v>
      </c>
      <c r="C31" s="21" t="s">
        <v>28</v>
      </c>
      <c r="E31" s="41">
        <f>E8+D_JSR!E44</f>
        <v>0</v>
      </c>
      <c r="F31" s="41">
        <f>F8+D_JSR!F44</f>
        <v>44.998283319999985</v>
      </c>
      <c r="G31" s="41">
        <f>G8+D_JSR!G44</f>
        <v>51.262617490983132</v>
      </c>
      <c r="H31" s="41">
        <f>H8+D_JSR!H44</f>
        <v>126.67516009594293</v>
      </c>
      <c r="I31" s="41">
        <f>I8+D_JSR!I44</f>
        <v>329.32367741555009</v>
      </c>
    </row>
    <row r="32" spans="2:10" ht="16.5" x14ac:dyDescent="0.35">
      <c r="B32" s="21" t="s">
        <v>533</v>
      </c>
      <c r="C32" s="21" t="s">
        <v>28</v>
      </c>
      <c r="E32" s="46">
        <f>前提!E17</f>
        <v>-50</v>
      </c>
      <c r="F32" s="46">
        <f>前提!F17</f>
        <v>-350</v>
      </c>
      <c r="G32" s="46">
        <f>前提!G17</f>
        <v>-400</v>
      </c>
      <c r="H32" s="46">
        <f>前提!H17</f>
        <v>-300</v>
      </c>
      <c r="I32" s="46">
        <f>前提!I17</f>
        <v>-300</v>
      </c>
    </row>
    <row r="33" spans="2:10" ht="16.5" x14ac:dyDescent="0.35">
      <c r="B33" s="21" t="s">
        <v>534</v>
      </c>
      <c r="C33" s="21" t="s">
        <v>28</v>
      </c>
      <c r="E33" s="46">
        <f>分社化・合併!E9</f>
        <v>0</v>
      </c>
      <c r="F33" s="46">
        <f>分社化・合併!F9</f>
        <v>-50</v>
      </c>
      <c r="G33" s="46">
        <f>分社化・合併!G9</f>
        <v>0</v>
      </c>
      <c r="H33" s="46">
        <f>分社化・合併!H9</f>
        <v>0</v>
      </c>
      <c r="I33" s="46">
        <f>分社化・合併!I9</f>
        <v>0</v>
      </c>
    </row>
    <row r="34" spans="2:10" ht="16.5" x14ac:dyDescent="0.35">
      <c r="B34" s="21" t="s">
        <v>535</v>
      </c>
      <c r="C34" s="21" t="s">
        <v>28</v>
      </c>
      <c r="E34" s="46">
        <f>分社化・合併!E23</f>
        <v>0</v>
      </c>
      <c r="F34" s="46">
        <f>分社化・合併!F23</f>
        <v>0</v>
      </c>
      <c r="G34" s="46">
        <f>分社化・合併!G23</f>
        <v>-3852.4537411980364</v>
      </c>
      <c r="H34" s="46">
        <f>分社化・合併!H23</f>
        <v>0</v>
      </c>
      <c r="I34" s="46">
        <f>分社化・合併!I23</f>
        <v>0</v>
      </c>
    </row>
    <row r="35" spans="2:10" ht="33" x14ac:dyDescent="0.35">
      <c r="B35" s="21" t="s">
        <v>536</v>
      </c>
      <c r="C35" s="21" t="s">
        <v>28</v>
      </c>
      <c r="E35" s="46">
        <f>連結BS!D38-分社化・合併!E26+D_JSR!E33+D_JSR!E34+D_JSR!E26*前提!$D$136</f>
        <v>14648</v>
      </c>
      <c r="F35" s="46">
        <f>連結BS!E38-分社化・合併!F26+D_JSR!F33+D_JSR!F34+D_JSR!F26*前提!$D$136</f>
        <v>14001.464669999998</v>
      </c>
      <c r="G35" s="46">
        <f>連結BS!F38-分社化・合併!G26+D_JSR!G33+D_JSR!G34+D_JSR!G26*前提!$D$136</f>
        <v>14873.433884951019</v>
      </c>
      <c r="H35" s="46">
        <f>連結BS!G38-分社化・合併!H26+D_JSR!H33+D_JSR!H34+D_JSR!H26*前提!$D$136</f>
        <v>14086.045052262687</v>
      </c>
      <c r="I35" s="46">
        <f>連結BS!H38-分社化・合併!I26+D_JSR!I33+D_JSR!I34+D_JSR!I26*前提!$D$136</f>
        <v>15075.440528594292</v>
      </c>
      <c r="J35" s="5" t="s">
        <v>562</v>
      </c>
    </row>
    <row r="36" spans="2:10" ht="33" x14ac:dyDescent="0.35">
      <c r="B36" s="21" t="s">
        <v>538</v>
      </c>
      <c r="C36" s="21" t="s">
        <v>28</v>
      </c>
      <c r="E36" s="46">
        <f>E35*前提!$D$121+D_JSR!E32*前提!$D$121*前提!$D$141+D_JSR!E39</f>
        <v>292.95999999999998</v>
      </c>
      <c r="F36" s="46">
        <f>F35*前提!$D$121+D_JSR!F32*前提!$D$121*前提!$D$141+D_JSR!F39</f>
        <v>300.02929339999997</v>
      </c>
      <c r="G36" s="46">
        <f>G35*前提!$D$121+D_JSR!G32*前提!$D$121*前提!$D$141+D_JSR!G39</f>
        <v>297.46867769902036</v>
      </c>
      <c r="H36" s="46">
        <f>H35*前提!$D$121+D_JSR!H32*前提!$D$121*前提!$D$141+D_JSR!H39</f>
        <v>281.72090104525375</v>
      </c>
      <c r="I36" s="46">
        <f>I35*前提!$D$121+D_JSR!I32*前提!$D$121*前提!$D$141+D_JSR!I39</f>
        <v>301.50881057188587</v>
      </c>
      <c r="J36" s="5" t="s">
        <v>563</v>
      </c>
    </row>
    <row r="37" spans="2:10" ht="16.5" x14ac:dyDescent="0.35">
      <c r="B37" s="21" t="s">
        <v>540</v>
      </c>
      <c r="C37" s="21" t="s">
        <v>28</v>
      </c>
      <c r="E37" s="51">
        <f>E30+E32+E33-E36</f>
        <v>2707.04</v>
      </c>
      <c r="F37" s="51">
        <f>F30+F32+F33-F36</f>
        <v>2630.1475134442776</v>
      </c>
      <c r="G37" s="51">
        <f>G30+G32+G33-G36</f>
        <v>3112.3307959064964</v>
      </c>
      <c r="H37" s="51">
        <f>H30+H32+H33-H36</f>
        <v>3653.1366294443155</v>
      </c>
      <c r="I37" s="51">
        <f>I30+I32+I33-I36</f>
        <v>4041.7424896377333</v>
      </c>
    </row>
    <row r="38" spans="2:10" ht="16.5" x14ac:dyDescent="0.35">
      <c r="B38" s="21" t="s">
        <v>541</v>
      </c>
      <c r="C38" s="21" t="s">
        <v>28</v>
      </c>
      <c r="E38" s="46">
        <f>-E37*前提!$D$122</f>
        <v>-730.9008</v>
      </c>
      <c r="F38" s="46">
        <f>-F37*前提!$D$122</f>
        <v>-710.13982862995499</v>
      </c>
      <c r="G38" s="46">
        <f>-G37*前提!$D$122</f>
        <v>-840.32931489475413</v>
      </c>
      <c r="H38" s="46">
        <f>-H37*前提!$D$122</f>
        <v>-986.3468899499652</v>
      </c>
      <c r="I38" s="46">
        <f>-I37*前提!$D$122</f>
        <v>-1091.2704722021881</v>
      </c>
    </row>
    <row r="39" spans="2:10" ht="16.5" x14ac:dyDescent="0.35">
      <c r="B39" s="21" t="s">
        <v>542</v>
      </c>
      <c r="C39" s="21" t="s">
        <v>28</v>
      </c>
      <c r="E39" s="41">
        <f>前提!$D$32*E31*前提!$D$122</f>
        <v>0</v>
      </c>
      <c r="F39" s="41">
        <f>前提!$D$32*F31*前提!$D$122</f>
        <v>12.149536496399996</v>
      </c>
      <c r="G39" s="41">
        <f>前提!$D$32*G31*前提!$D$122</f>
        <v>13.840906722565446</v>
      </c>
      <c r="H39" s="41">
        <f>前提!$D$32*H31*前提!$D$122</f>
        <v>34.20229322590459</v>
      </c>
      <c r="I39" s="41">
        <f>前提!$D$32*I31*前提!$D$122</f>
        <v>88.917392902198529</v>
      </c>
      <c r="J39" s="5" t="s">
        <v>543</v>
      </c>
    </row>
    <row r="40" spans="2:10" ht="16.5" x14ac:dyDescent="0.35">
      <c r="B40" s="21" t="s">
        <v>544</v>
      </c>
      <c r="C40" s="21" t="s">
        <v>28</v>
      </c>
      <c r="E40" s="46">
        <f>E34*(1-前提!$D$108)</f>
        <v>0</v>
      </c>
      <c r="F40" s="46">
        <f>F34*(1-前提!$D$108)</f>
        <v>0</v>
      </c>
      <c r="G40" s="46">
        <f>G34*(1-前提!$D$108)</f>
        <v>-2696.7176188386252</v>
      </c>
      <c r="H40" s="46">
        <f>H34*(1-前提!$D$108)</f>
        <v>0</v>
      </c>
      <c r="I40" s="46">
        <f>I34*(1-前提!$D$108)</f>
        <v>0</v>
      </c>
    </row>
    <row r="41" spans="2:10" ht="16.5" x14ac:dyDescent="0.35">
      <c r="B41" s="21" t="s">
        <v>545</v>
      </c>
      <c r="C41" s="21" t="s">
        <v>28</v>
      </c>
      <c r="E41" s="51">
        <f>E37+E38+E39+E40</f>
        <v>1976.1392000000001</v>
      </c>
      <c r="F41" s="51">
        <f>F37+F38+F39+F40</f>
        <v>1932.1572213107227</v>
      </c>
      <c r="G41" s="51">
        <f>G37+G38+G39+G40</f>
        <v>-410.87523110431766</v>
      </c>
      <c r="H41" s="51">
        <f>H37+H38+H39+H40</f>
        <v>2700.9920327202549</v>
      </c>
      <c r="I41" s="51">
        <f>I37+I38+I39+I40</f>
        <v>3039.3894103377438</v>
      </c>
    </row>
    <row r="42" spans="2:10" ht="16.5" x14ac:dyDescent="0.35">
      <c r="B42" s="21" t="s">
        <v>546</v>
      </c>
      <c r="C42" s="21" t="s">
        <v>28</v>
      </c>
      <c r="E42" s="51">
        <f t="shared" ref="E42:I43" si="0">E19</f>
        <v>1310</v>
      </c>
      <c r="F42" s="51">
        <f t="shared" si="0"/>
        <v>1373.9024390243903</v>
      </c>
      <c r="G42" s="51">
        <f t="shared" si="0"/>
        <v>1444.1951219512196</v>
      </c>
      <c r="H42" s="51">
        <f t="shared" si="0"/>
        <v>1514.4878048780488</v>
      </c>
      <c r="I42" s="51">
        <f t="shared" si="0"/>
        <v>1584.780487804878</v>
      </c>
    </row>
    <row r="43" spans="2:10" ht="16.5" x14ac:dyDescent="0.35">
      <c r="B43" s="21" t="s">
        <v>548</v>
      </c>
      <c r="C43" s="21" t="s">
        <v>28</v>
      </c>
      <c r="E43" s="51">
        <f t="shared" si="0"/>
        <v>697.27099999999996</v>
      </c>
      <c r="F43" s="51">
        <f t="shared" si="0"/>
        <v>728.84519512195129</v>
      </c>
      <c r="G43" s="51">
        <f t="shared" si="0"/>
        <v>763.57680975609753</v>
      </c>
      <c r="H43" s="51">
        <f t="shared" si="0"/>
        <v>798.30842439024389</v>
      </c>
      <c r="I43" s="51">
        <f t="shared" si="0"/>
        <v>833.04003902439024</v>
      </c>
    </row>
    <row r="44" spans="2:10" ht="16.5" x14ac:dyDescent="0.35">
      <c r="B44" s="42" t="s">
        <v>550</v>
      </c>
      <c r="C44" s="21" t="s">
        <v>28</v>
      </c>
      <c r="E44" s="58">
        <f>E41-E43</f>
        <v>1278.8682000000001</v>
      </c>
      <c r="F44" s="58">
        <f>F41-F43</f>
        <v>1203.3120261887714</v>
      </c>
      <c r="G44" s="58">
        <f>G41-G43</f>
        <v>-1174.4520408604153</v>
      </c>
      <c r="H44" s="58">
        <f>H41-H43</f>
        <v>1902.6836083300109</v>
      </c>
      <c r="I44" s="58">
        <f>I41-I43</f>
        <v>2206.3493713133535</v>
      </c>
    </row>
    <row r="45" spans="2:10" ht="16.5" x14ac:dyDescent="0.35">
      <c r="B45" s="42" t="s">
        <v>342</v>
      </c>
      <c r="C45" s="21" t="s">
        <v>147</v>
      </c>
      <c r="E45" s="44">
        <f>E44/前提!$D$124*100</f>
        <v>94.124398321925369</v>
      </c>
      <c r="F45" s="44">
        <f>F44/前提!$D$124*100</f>
        <v>88.563481724352059</v>
      </c>
      <c r="G45" s="44">
        <f>G44/前提!$D$124*100</f>
        <v>-86.439393601267042</v>
      </c>
      <c r="H45" s="44">
        <f>H44/前提!$D$124*100</f>
        <v>140.03706545447935</v>
      </c>
      <c r="I45" s="44">
        <f>I44/前提!$D$124*100</f>
        <v>162.38679409092171</v>
      </c>
      <c r="J45" s="5" t="s">
        <v>551</v>
      </c>
    </row>
    <row r="46" spans="2:10" ht="16.5" x14ac:dyDescent="0.35">
      <c r="B46" s="21" t="s">
        <v>552</v>
      </c>
      <c r="C46" s="21" t="s">
        <v>28</v>
      </c>
      <c r="E46" s="46">
        <f>MAX(前提!$D$125*前提!$D$124/100,前提!$D$126*E44)</f>
        <v>447.60387000000003</v>
      </c>
      <c r="F46" s="46">
        <f>MAX(前提!$D$125*前提!$D$124/100,前提!$D$126*F44)</f>
        <v>434.78399999999999</v>
      </c>
      <c r="G46" s="46">
        <f>MAX(前提!$D$125*前提!$D$124/100,前提!$D$126*G44)</f>
        <v>434.78399999999999</v>
      </c>
      <c r="H46" s="46">
        <f>MAX(前提!$D$125*前提!$D$124/100,前提!$D$126*H44)</f>
        <v>665.93926291550372</v>
      </c>
      <c r="I46" s="46">
        <f>MAX(前提!$D$125*前提!$D$124/100,前提!$D$126*I44)</f>
        <v>772.22227995967364</v>
      </c>
      <c r="J46" s="5" t="s">
        <v>553</v>
      </c>
    </row>
    <row r="47" spans="2:10" ht="16.5" x14ac:dyDescent="0.35">
      <c r="B47" s="21" t="s">
        <v>554</v>
      </c>
      <c r="C47" s="21" t="s">
        <v>28</v>
      </c>
      <c r="E47" s="51">
        <f>E24</f>
        <v>141</v>
      </c>
      <c r="F47" s="51">
        <f>F24</f>
        <v>147.87804878048783</v>
      </c>
      <c r="G47" s="51">
        <f>G24</f>
        <v>155.44390243902441</v>
      </c>
      <c r="H47" s="51">
        <f>H24</f>
        <v>163.00975609756097</v>
      </c>
      <c r="I47" s="51">
        <f>I24</f>
        <v>170.57560975609755</v>
      </c>
    </row>
    <row r="48" spans="2:10" ht="33" x14ac:dyDescent="0.35">
      <c r="B48" s="42" t="s">
        <v>343</v>
      </c>
      <c r="C48" s="21" t="s">
        <v>31</v>
      </c>
      <c r="E48" s="56">
        <f>((E30-前提!$D$32*E31)*(1-前提!$D$123)+前提!$D$32*E31)/AVERAGE(連結BS!D42,連結BS!E42)</f>
        <v>4.8894436110888458E-2</v>
      </c>
      <c r="F48" s="56">
        <f>((F30-前提!$D$32*F31)*(1-前提!$D$123)+前提!$D$32*F31)/AVERAGE(連結BS!E42,連結BS!F42)</f>
        <v>5.1665103549116818E-2</v>
      </c>
      <c r="G48" s="56">
        <f>((G30-前提!$D$32*G31)*(1-前提!$D$123)+前提!$D$32*G31)/AVERAGE(連結BS!F42,連結BS!G42)</f>
        <v>5.9003232600449519E-2</v>
      </c>
      <c r="H48" s="56">
        <f>((H30-前提!$D$32*H31)*(1-前提!$D$123)+前提!$D$32*H31)/AVERAGE(連結BS!G42,連結BS!H42)</f>
        <v>6.7379140698731146E-2</v>
      </c>
      <c r="I48" s="56">
        <f>((I30-前提!$D$32*I31)*(1-前提!$D$123)+前提!$D$32*I31)/AVERAGE(連結BS!H42,連結BS!I42)</f>
        <v>7.2177757239285142E-2</v>
      </c>
      <c r="J48" s="5" t="s">
        <v>556</v>
      </c>
    </row>
    <row r="49" spans="2:10" ht="33" x14ac:dyDescent="0.35">
      <c r="B49" s="42" t="s">
        <v>557</v>
      </c>
      <c r="C49" s="21" t="s">
        <v>22</v>
      </c>
      <c r="E49" s="61">
        <f>連結BS!E46</f>
        <v>0.75895837242700637</v>
      </c>
      <c r="F49" s="61">
        <f>連結BS!F46</f>
        <v>0.79838116561886896</v>
      </c>
      <c r="G49" s="61">
        <f>連結BS!G46</f>
        <v>0.78426963743205824</v>
      </c>
      <c r="H49" s="61">
        <f>連結BS!H46</f>
        <v>0.67249422902187994</v>
      </c>
      <c r="I49" s="61">
        <f>連結BS!I46</f>
        <v>0.66679129742104404</v>
      </c>
      <c r="J49" s="5" t="s">
        <v>558</v>
      </c>
    </row>
    <row r="51" spans="2:10" ht="20.100000000000001" customHeight="1" x14ac:dyDescent="0.35">
      <c r="B51" s="22" t="s">
        <v>564</v>
      </c>
      <c r="C51" s="4"/>
      <c r="D51" s="4"/>
      <c r="E51" s="4"/>
      <c r="F51" s="4"/>
      <c r="G51" s="4"/>
      <c r="H51" s="4"/>
      <c r="I51" s="4"/>
      <c r="J51" s="4"/>
    </row>
    <row r="52" spans="2:10" ht="16.5" x14ac:dyDescent="0.35">
      <c r="B52" s="21" t="s">
        <v>565</v>
      </c>
      <c r="C52" s="21" t="s">
        <v>28</v>
      </c>
      <c r="E52" s="45">
        <f>E30-E7</f>
        <v>0</v>
      </c>
      <c r="F52" s="45">
        <f>F30-F7</f>
        <v>44.998283320000155</v>
      </c>
      <c r="G52" s="45">
        <f>G30-G7</f>
        <v>107.00490769065573</v>
      </c>
      <c r="H52" s="45">
        <f>H30-H7</f>
        <v>133.41745029561571</v>
      </c>
      <c r="I52" s="45">
        <f>I30-I7</f>
        <v>283.69482251538648</v>
      </c>
    </row>
    <row r="53" spans="2:10" ht="16.5" x14ac:dyDescent="0.35">
      <c r="B53" s="21" t="s">
        <v>566</v>
      </c>
      <c r="C53" s="21" t="s">
        <v>28</v>
      </c>
      <c r="E53" s="45">
        <f t="shared" ref="E53:I54" si="1">E44-E21</f>
        <v>0</v>
      </c>
      <c r="F53" s="45">
        <f t="shared" si="1"/>
        <v>30.398283320000019</v>
      </c>
      <c r="G53" s="45">
        <f t="shared" si="1"/>
        <v>77.137559149901335</v>
      </c>
      <c r="H53" s="45">
        <f t="shared" si="1"/>
        <v>99.070229092442787</v>
      </c>
      <c r="I53" s="45">
        <f t="shared" si="1"/>
        <v>213.25962958132868</v>
      </c>
    </row>
    <row r="54" spans="2:10" ht="16.5" x14ac:dyDescent="0.35">
      <c r="B54" s="21" t="s">
        <v>567</v>
      </c>
      <c r="C54" s="21" t="s">
        <v>147</v>
      </c>
      <c r="E54" s="45">
        <f t="shared" si="1"/>
        <v>0</v>
      </c>
      <c r="F54" s="45">
        <f t="shared" si="1"/>
        <v>2.2373064929712285</v>
      </c>
      <c r="G54" s="45">
        <f t="shared" si="1"/>
        <v>5.677306186052931</v>
      </c>
      <c r="H54" s="45">
        <f t="shared" si="1"/>
        <v>7.2915455282581263</v>
      </c>
      <c r="I54" s="45">
        <f t="shared" si="1"/>
        <v>15.695858510438541</v>
      </c>
    </row>
    <row r="55" spans="2:10" ht="36.950000000000003" customHeight="1" x14ac:dyDescent="0.15">
      <c r="B55" s="72" t="s">
        <v>568</v>
      </c>
      <c r="C55" s="73"/>
      <c r="D55" s="73"/>
      <c r="E55" s="73"/>
      <c r="F55" s="73"/>
      <c r="G55" s="73"/>
      <c r="H55" s="73"/>
      <c r="I55" s="73"/>
    </row>
    <row r="56" spans="2:10" ht="17.100000000000001" customHeight="1" x14ac:dyDescent="0.15">
      <c r="B56" s="72" t="s">
        <v>569</v>
      </c>
      <c r="C56" s="73"/>
      <c r="D56" s="73"/>
      <c r="E56" s="73"/>
      <c r="F56" s="73"/>
      <c r="G56" s="73"/>
      <c r="H56" s="73"/>
      <c r="I56" s="73"/>
    </row>
    <row r="57" spans="2:10" ht="17.100000000000001" customHeight="1" x14ac:dyDescent="0.15">
      <c r="B57" s="72" t="s">
        <v>570</v>
      </c>
      <c r="C57" s="73"/>
      <c r="D57" s="73"/>
      <c r="E57" s="73"/>
      <c r="F57" s="73"/>
      <c r="G57" s="73"/>
      <c r="H57" s="73"/>
      <c r="I57" s="73"/>
    </row>
    <row r="58" spans="2:10" ht="36.950000000000003" customHeight="1" x14ac:dyDescent="0.15">
      <c r="B58" s="72" t="s">
        <v>571</v>
      </c>
      <c r="C58" s="73"/>
      <c r="D58" s="73"/>
      <c r="E58" s="73"/>
      <c r="F58" s="73"/>
      <c r="G58" s="73"/>
      <c r="H58" s="73"/>
      <c r="I58" s="73"/>
    </row>
  </sheetData>
  <mergeCells count="4">
    <mergeCell ref="B56:I56"/>
    <mergeCell ref="B55:I55"/>
    <mergeCell ref="B57:I57"/>
    <mergeCell ref="B58:I58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J49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572</v>
      </c>
    </row>
    <row r="2" spans="2:10" ht="16.5" x14ac:dyDescent="0.35">
      <c r="B2" s="21" t="s">
        <v>573</v>
      </c>
    </row>
    <row r="4" spans="2:10" ht="16.5" x14ac:dyDescent="0.15">
      <c r="B4" s="6" t="s">
        <v>54</v>
      </c>
      <c r="C4" s="6" t="s">
        <v>16</v>
      </c>
      <c r="D4" s="6" t="s">
        <v>574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575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576</v>
      </c>
      <c r="C6" s="21" t="s">
        <v>28</v>
      </c>
      <c r="E6" s="46">
        <f>連結CF!E6</f>
        <v>3391</v>
      </c>
      <c r="F6" s="46">
        <f>連結CF!F6</f>
        <v>3300</v>
      </c>
      <c r="G6" s="46">
        <f>連結CF!G6</f>
        <v>2920</v>
      </c>
      <c r="H6" s="46">
        <f>連結CF!H6</f>
        <v>2720</v>
      </c>
      <c r="I6" s="46">
        <f>連結CF!I6</f>
        <v>2720</v>
      </c>
    </row>
    <row r="7" spans="2:10" ht="16.5" x14ac:dyDescent="0.35">
      <c r="B7" s="21" t="s">
        <v>577</v>
      </c>
      <c r="C7" s="21" t="s">
        <v>28</v>
      </c>
      <c r="E7" s="46">
        <f>-連結CF!E7</f>
        <v>-2794</v>
      </c>
      <c r="F7" s="46">
        <f>-連結CF!F7</f>
        <v>-2850</v>
      </c>
      <c r="G7" s="46">
        <f>-連結CF!G7</f>
        <v>-2600</v>
      </c>
      <c r="H7" s="46">
        <f>-連結CF!H7</f>
        <v>-2650</v>
      </c>
      <c r="I7" s="46">
        <f>-連結CF!I7</f>
        <v>-2700</v>
      </c>
    </row>
    <row r="8" spans="2:10" ht="16.5" x14ac:dyDescent="0.35">
      <c r="B8" s="21" t="s">
        <v>578</v>
      </c>
      <c r="C8" s="21" t="s">
        <v>28</v>
      </c>
      <c r="E8" s="46">
        <f>連結CF!E9</f>
        <v>144</v>
      </c>
      <c r="F8" s="46">
        <f>連結CF!F9</f>
        <v>195.35729999999967</v>
      </c>
      <c r="G8" s="46">
        <f>連結CF!G9</f>
        <v>259.98979034040059</v>
      </c>
      <c r="H8" s="46">
        <f>連結CF!H9</f>
        <v>262.0062456513424</v>
      </c>
      <c r="I8" s="46">
        <f>連結CF!I9</f>
        <v>193.30646509148718</v>
      </c>
    </row>
    <row r="9" spans="2:10" ht="16.5" x14ac:dyDescent="0.35">
      <c r="B9" s="21" t="s">
        <v>579</v>
      </c>
      <c r="C9" s="21" t="s">
        <v>28</v>
      </c>
      <c r="E9" s="46">
        <f>-分社化・合併!E25</f>
        <v>0</v>
      </c>
      <c r="F9" s="46">
        <f>-分社化・合併!F25</f>
        <v>0</v>
      </c>
      <c r="G9" s="46">
        <f>-分社化・合併!G25</f>
        <v>-5300</v>
      </c>
      <c r="H9" s="46">
        <f>-分社化・合併!H25</f>
        <v>0</v>
      </c>
      <c r="I9" s="46">
        <f>-分社化・合併!I25</f>
        <v>0</v>
      </c>
    </row>
    <row r="10" spans="2:10" ht="16.5" x14ac:dyDescent="0.35">
      <c r="B10" s="21" t="s">
        <v>580</v>
      </c>
      <c r="C10" s="21" t="s">
        <v>28</v>
      </c>
      <c r="E10" s="46">
        <f>分社化・合併!E27</f>
        <v>0</v>
      </c>
      <c r="F10" s="46">
        <f>分社化・合併!F27</f>
        <v>0</v>
      </c>
      <c r="G10" s="46">
        <f>分社化・合併!G27</f>
        <v>947.54625880196386</v>
      </c>
      <c r="H10" s="46">
        <f>分社化・合併!H27</f>
        <v>0</v>
      </c>
      <c r="I10" s="46">
        <f>分社化・合併!I27</f>
        <v>0</v>
      </c>
    </row>
    <row r="11" spans="2:10" ht="16.5" x14ac:dyDescent="0.35">
      <c r="B11" s="21" t="s">
        <v>581</v>
      </c>
      <c r="C11" s="21" t="s">
        <v>28</v>
      </c>
      <c r="E11" s="46">
        <f>連結PL!E8</f>
        <v>0</v>
      </c>
      <c r="F11" s="46">
        <f>連結PL!F8</f>
        <v>0</v>
      </c>
      <c r="G11" s="46">
        <f>連結PL!G8</f>
        <v>-55.742290199672667</v>
      </c>
      <c r="H11" s="46">
        <f>連結PL!H8</f>
        <v>-6.7422901996726692</v>
      </c>
      <c r="I11" s="46">
        <f>連結PL!I8</f>
        <v>45.62885490016366</v>
      </c>
    </row>
    <row r="12" spans="2:10" ht="16.5" x14ac:dyDescent="0.35">
      <c r="B12" s="21" t="s">
        <v>582</v>
      </c>
      <c r="C12" s="21" t="s">
        <v>28</v>
      </c>
      <c r="E12" s="46">
        <f>-連結PL!E11*前提!$D$108</f>
        <v>0</v>
      </c>
      <c r="F12" s="46">
        <f>-連結PL!F11*前提!$D$108</f>
        <v>0</v>
      </c>
      <c r="G12" s="46">
        <f>-連結PL!G11*前提!$D$108</f>
        <v>1155.736122359411</v>
      </c>
      <c r="H12" s="46">
        <f>-連結PL!H11*前提!$D$108</f>
        <v>0</v>
      </c>
      <c r="I12" s="46">
        <f>-連結PL!I11*前提!$D$108</f>
        <v>0</v>
      </c>
    </row>
    <row r="13" spans="2:10" ht="16.5" x14ac:dyDescent="0.35">
      <c r="B13" s="42" t="s">
        <v>583</v>
      </c>
      <c r="C13" s="21" t="s">
        <v>28</v>
      </c>
      <c r="D13" s="53">
        <f>前提!$D$127+前提!$D$128+前提!$D$129</f>
        <v>38795</v>
      </c>
      <c r="E13" s="58">
        <f>D13+E6+E7+E8+E9+E10+E11+E12</f>
        <v>39536</v>
      </c>
      <c r="F13" s="58">
        <f>E13+F6+F7+F8+F9+F10+F11+F12</f>
        <v>40181.357300000003</v>
      </c>
      <c r="G13" s="58">
        <f>F13+G6+G7+G8+G9+G10+G11+G12</f>
        <v>37508.887181302103</v>
      </c>
      <c r="H13" s="58">
        <f>G13+H6+H7+H8+H9+H10+H11+H12</f>
        <v>37834.151136753768</v>
      </c>
      <c r="I13" s="58">
        <f>H13+I6+I7+I8+I9+I10+I11+I12</f>
        <v>38093.086456745419</v>
      </c>
    </row>
    <row r="14" spans="2:10" ht="16.5" x14ac:dyDescent="0.35">
      <c r="B14" s="21" t="s">
        <v>584</v>
      </c>
      <c r="C14" s="21" t="s">
        <v>28</v>
      </c>
      <c r="D14" s="46">
        <f>前提!$D$127</f>
        <v>17617</v>
      </c>
      <c r="E14" s="46">
        <f>D14+連結PL!E21-連結PL!E23</f>
        <v>18448.264330000002</v>
      </c>
      <c r="F14" s="46">
        <f>E14+連結PL!F21-連結PL!F23</f>
        <v>19186.394072868774</v>
      </c>
      <c r="G14" s="46">
        <f>F14+連結PL!G21-連結PL!G23</f>
        <v>17500.020472858458</v>
      </c>
      <c r="H14" s="46">
        <f>G14+連結PL!H21-連結PL!H23</f>
        <v>18672.369169362879</v>
      </c>
      <c r="I14" s="46">
        <f>H14+連結PL!I21-連結PL!I23</f>
        <v>19967.877501488692</v>
      </c>
    </row>
    <row r="15" spans="2:10" ht="16.5" x14ac:dyDescent="0.35">
      <c r="B15" s="21" t="s">
        <v>585</v>
      </c>
      <c r="C15" s="21" t="s">
        <v>28</v>
      </c>
      <c r="D15" s="46">
        <f>前提!$D$128</f>
        <v>6530</v>
      </c>
      <c r="E15" s="46">
        <f>D15+連結PL!E20-連結PL!E24</f>
        <v>7086.2709999999997</v>
      </c>
      <c r="F15" s="46">
        <f>E15+連結PL!F20-連結PL!F24</f>
        <v>7667.2381463414631</v>
      </c>
      <c r="G15" s="46">
        <f>F15+連結PL!G20-連結PL!G24</f>
        <v>8275.3710536585349</v>
      </c>
      <c r="H15" s="46">
        <f>G15+連結PL!H20-連結PL!H24</f>
        <v>8910.6697219512171</v>
      </c>
      <c r="I15" s="46">
        <f>H15+連結PL!I20-連結PL!I24</f>
        <v>9573.1341512195104</v>
      </c>
    </row>
    <row r="16" spans="2:10" ht="16.5" x14ac:dyDescent="0.35">
      <c r="B16" s="42" t="s">
        <v>586</v>
      </c>
      <c r="C16" s="21" t="s">
        <v>28</v>
      </c>
      <c r="D16" s="58">
        <f t="shared" ref="D16:I16" si="0">D13-D14-D15</f>
        <v>14648</v>
      </c>
      <c r="E16" s="58">
        <f t="shared" si="0"/>
        <v>14001.464669999998</v>
      </c>
      <c r="F16" s="58">
        <f t="shared" si="0"/>
        <v>13327.725080789765</v>
      </c>
      <c r="G16" s="58">
        <f t="shared" si="0"/>
        <v>11733.495654785111</v>
      </c>
      <c r="H16" s="58">
        <f t="shared" si="0"/>
        <v>10251.112245439672</v>
      </c>
      <c r="I16" s="58">
        <f t="shared" si="0"/>
        <v>8552.0748040372164</v>
      </c>
    </row>
    <row r="17" spans="2:10" ht="16.5" x14ac:dyDescent="0.35">
      <c r="B17" s="21" t="s">
        <v>587</v>
      </c>
      <c r="C17" s="21" t="s">
        <v>28</v>
      </c>
      <c r="D17" s="46">
        <f>前提!$D$130</f>
        <v>4500</v>
      </c>
      <c r="E17" s="46">
        <f>前提!$D$130</f>
        <v>4500</v>
      </c>
      <c r="F17" s="46">
        <f>前提!$D$130</f>
        <v>4500</v>
      </c>
      <c r="G17" s="46">
        <f>前提!$D$130</f>
        <v>4500</v>
      </c>
      <c r="H17" s="46">
        <f>前提!$D$130</f>
        <v>4500</v>
      </c>
      <c r="I17" s="46">
        <f>前提!$D$130</f>
        <v>4500</v>
      </c>
    </row>
    <row r="18" spans="2:10" ht="16.5" x14ac:dyDescent="0.35">
      <c r="B18" s="21" t="s">
        <v>588</v>
      </c>
      <c r="C18" s="21" t="s">
        <v>28</v>
      </c>
      <c r="D18" s="51">
        <f t="shared" ref="D18:I18" si="1">D16+D17</f>
        <v>19148</v>
      </c>
      <c r="E18" s="51">
        <f t="shared" si="1"/>
        <v>18501.464669999998</v>
      </c>
      <c r="F18" s="51">
        <f t="shared" si="1"/>
        <v>17827.725080789765</v>
      </c>
      <c r="G18" s="51">
        <f t="shared" si="1"/>
        <v>16233.495654785111</v>
      </c>
      <c r="H18" s="51">
        <f t="shared" si="1"/>
        <v>14751.112245439672</v>
      </c>
      <c r="I18" s="51">
        <f t="shared" si="1"/>
        <v>13052.074804037216</v>
      </c>
    </row>
    <row r="19" spans="2:10" ht="16.5" x14ac:dyDescent="0.35">
      <c r="B19" s="21" t="s">
        <v>589</v>
      </c>
      <c r="C19" s="21" t="s">
        <v>28</v>
      </c>
      <c r="D19" s="51">
        <f t="shared" ref="D19:I19" si="2">D14+D15</f>
        <v>24147</v>
      </c>
      <c r="E19" s="51">
        <f t="shared" si="2"/>
        <v>25534.535330000002</v>
      </c>
      <c r="F19" s="51">
        <f t="shared" si="2"/>
        <v>26853.632219210238</v>
      </c>
      <c r="G19" s="51">
        <f t="shared" si="2"/>
        <v>25775.391526516993</v>
      </c>
      <c r="H19" s="51">
        <f t="shared" si="2"/>
        <v>27583.038891314096</v>
      </c>
      <c r="I19" s="51">
        <f t="shared" si="2"/>
        <v>29541.011652708203</v>
      </c>
    </row>
    <row r="20" spans="2:10" ht="16.5" x14ac:dyDescent="0.35">
      <c r="B20" s="21" t="s">
        <v>590</v>
      </c>
      <c r="C20" s="21" t="s">
        <v>28</v>
      </c>
      <c r="D20" s="51">
        <f t="shared" ref="D20:I20" si="3">D19+D18</f>
        <v>43295</v>
      </c>
      <c r="E20" s="51">
        <f t="shared" si="3"/>
        <v>44036</v>
      </c>
      <c r="F20" s="51">
        <f t="shared" si="3"/>
        <v>44681.357300000003</v>
      </c>
      <c r="G20" s="51">
        <f t="shared" si="3"/>
        <v>42008.887181302103</v>
      </c>
      <c r="H20" s="51">
        <f t="shared" si="3"/>
        <v>42334.151136753768</v>
      </c>
      <c r="I20" s="51">
        <f t="shared" si="3"/>
        <v>42593.086456745419</v>
      </c>
    </row>
    <row r="21" spans="2:10" ht="16.5" x14ac:dyDescent="0.35">
      <c r="B21" s="42" t="s">
        <v>557</v>
      </c>
      <c r="C21" s="21" t="s">
        <v>22</v>
      </c>
      <c r="D21" s="62">
        <f t="shared" ref="D21:I21" si="4">D16/D14</f>
        <v>0.83146960322415853</v>
      </c>
      <c r="E21" s="62">
        <f t="shared" si="4"/>
        <v>0.75895837242700637</v>
      </c>
      <c r="F21" s="62">
        <f t="shared" si="4"/>
        <v>0.69464460232453606</v>
      </c>
      <c r="G21" s="62">
        <f t="shared" si="4"/>
        <v>0.67048468160269292</v>
      </c>
      <c r="H21" s="62">
        <f t="shared" si="4"/>
        <v>0.54899901305825838</v>
      </c>
      <c r="I21" s="62">
        <f t="shared" si="4"/>
        <v>0.42829163006431814</v>
      </c>
    </row>
    <row r="22" spans="2:10" ht="16.5" x14ac:dyDescent="0.35">
      <c r="B22" s="21" t="s">
        <v>591</v>
      </c>
      <c r="C22" s="21" t="s">
        <v>28</v>
      </c>
      <c r="D22" s="63">
        <f t="shared" ref="D22:I22" si="5">D13-D19-D16</f>
        <v>0</v>
      </c>
      <c r="E22" s="63">
        <f t="shared" si="5"/>
        <v>0</v>
      </c>
      <c r="F22" s="63">
        <f t="shared" si="5"/>
        <v>0</v>
      </c>
      <c r="G22" s="63">
        <f t="shared" si="5"/>
        <v>0</v>
      </c>
      <c r="H22" s="63">
        <f t="shared" si="5"/>
        <v>0</v>
      </c>
      <c r="I22" s="63">
        <f t="shared" si="5"/>
        <v>0</v>
      </c>
    </row>
    <row r="24" spans="2:10" ht="20.100000000000001" customHeight="1" x14ac:dyDescent="0.35">
      <c r="B24" s="22" t="s">
        <v>559</v>
      </c>
      <c r="C24" s="4"/>
      <c r="D24" s="4"/>
      <c r="E24" s="4"/>
      <c r="F24" s="4"/>
      <c r="G24" s="4"/>
      <c r="H24" s="4"/>
      <c r="I24" s="4"/>
      <c r="J24" s="4"/>
    </row>
    <row r="25" spans="2:10" ht="16.5" x14ac:dyDescent="0.35">
      <c r="B25" s="21" t="s">
        <v>576</v>
      </c>
      <c r="C25" s="21" t="s">
        <v>28</v>
      </c>
      <c r="E25" s="46">
        <f>連結CF!E28</f>
        <v>3391</v>
      </c>
      <c r="F25" s="46">
        <f>連結CF!F28</f>
        <v>3300</v>
      </c>
      <c r="G25" s="46">
        <f>連結CF!G28</f>
        <v>2920</v>
      </c>
      <c r="H25" s="46">
        <f>連結CF!H28</f>
        <v>2720</v>
      </c>
      <c r="I25" s="46">
        <f>連結CF!I28</f>
        <v>2720</v>
      </c>
    </row>
    <row r="26" spans="2:10" ht="16.5" x14ac:dyDescent="0.35">
      <c r="B26" s="21" t="s">
        <v>577</v>
      </c>
      <c r="C26" s="21" t="s">
        <v>28</v>
      </c>
      <c r="E26" s="46">
        <f>-連結CF!E29</f>
        <v>-2794</v>
      </c>
      <c r="F26" s="46">
        <f>-連結CF!F29</f>
        <v>-2850</v>
      </c>
      <c r="G26" s="46">
        <f>-連結CF!G29</f>
        <v>-2600</v>
      </c>
      <c r="H26" s="46">
        <f>-連結CF!H29</f>
        <v>-2650</v>
      </c>
      <c r="I26" s="46">
        <f>-連結CF!I29</f>
        <v>-2700</v>
      </c>
    </row>
    <row r="27" spans="2:10" ht="16.5" x14ac:dyDescent="0.35">
      <c r="B27" s="21" t="s">
        <v>578</v>
      </c>
      <c r="C27" s="21" t="s">
        <v>28</v>
      </c>
      <c r="E27" s="46">
        <f>連結CF!E31</f>
        <v>144</v>
      </c>
      <c r="F27" s="46">
        <f>連結CF!F31</f>
        <v>195.35729999999967</v>
      </c>
      <c r="G27" s="46">
        <f>連結CF!G31</f>
        <v>259.98979034040059</v>
      </c>
      <c r="H27" s="46">
        <f>連結CF!H31</f>
        <v>262.0062456513424</v>
      </c>
      <c r="I27" s="46">
        <f>連結CF!I31</f>
        <v>193.30646509148718</v>
      </c>
    </row>
    <row r="28" spans="2:10" ht="16.5" x14ac:dyDescent="0.35">
      <c r="B28" s="21" t="s">
        <v>579</v>
      </c>
      <c r="C28" s="21" t="s">
        <v>28</v>
      </c>
      <c r="E28" s="46">
        <f>-分社化・合併!E25</f>
        <v>0</v>
      </c>
      <c r="F28" s="46">
        <f>-分社化・合併!F25</f>
        <v>0</v>
      </c>
      <c r="G28" s="46">
        <f>-分社化・合併!G25</f>
        <v>-5300</v>
      </c>
      <c r="H28" s="46">
        <f>-分社化・合併!H25</f>
        <v>0</v>
      </c>
      <c r="I28" s="46">
        <f>-分社化・合併!I25</f>
        <v>0</v>
      </c>
    </row>
    <row r="29" spans="2:10" ht="16.5" x14ac:dyDescent="0.35">
      <c r="B29" s="21" t="s">
        <v>580</v>
      </c>
      <c r="C29" s="21" t="s">
        <v>28</v>
      </c>
      <c r="E29" s="46">
        <f>分社化・合併!E27</f>
        <v>0</v>
      </c>
      <c r="F29" s="46">
        <f>分社化・合併!F27</f>
        <v>0</v>
      </c>
      <c r="G29" s="46">
        <f>分社化・合併!G27</f>
        <v>947.54625880196386</v>
      </c>
      <c r="H29" s="46">
        <f>分社化・合併!H27</f>
        <v>0</v>
      </c>
      <c r="I29" s="46">
        <f>分社化・合併!I27</f>
        <v>0</v>
      </c>
    </row>
    <row r="30" spans="2:10" ht="16.5" x14ac:dyDescent="0.35">
      <c r="B30" s="21" t="s">
        <v>581</v>
      </c>
      <c r="C30" s="21" t="s">
        <v>28</v>
      </c>
      <c r="E30" s="46">
        <f>連結PL!E31</f>
        <v>0</v>
      </c>
      <c r="F30" s="46">
        <f>連結PL!F31</f>
        <v>44.998283319999985</v>
      </c>
      <c r="G30" s="46">
        <f>連結PL!G31</f>
        <v>51.262617490983132</v>
      </c>
      <c r="H30" s="46">
        <f>連結PL!H31</f>
        <v>126.67516009594293</v>
      </c>
      <c r="I30" s="46">
        <f>連結PL!I31</f>
        <v>329.32367741555009</v>
      </c>
    </row>
    <row r="31" spans="2:10" ht="16.5" x14ac:dyDescent="0.35">
      <c r="B31" s="21" t="s">
        <v>582</v>
      </c>
      <c r="C31" s="21" t="s">
        <v>28</v>
      </c>
      <c r="E31" s="46">
        <f>-連結PL!E34*前提!$D$108</f>
        <v>0</v>
      </c>
      <c r="F31" s="46">
        <f>-連結PL!F34*前提!$D$108</f>
        <v>0</v>
      </c>
      <c r="G31" s="46">
        <f>-連結PL!G34*前提!$D$108</f>
        <v>1155.736122359411</v>
      </c>
      <c r="H31" s="46">
        <f>-連結PL!H34*前提!$D$108</f>
        <v>0</v>
      </c>
      <c r="I31" s="46">
        <f>-連結PL!I34*前提!$D$108</f>
        <v>0</v>
      </c>
    </row>
    <row r="32" spans="2:10" ht="16.5" x14ac:dyDescent="0.35">
      <c r="B32" s="21" t="s">
        <v>592</v>
      </c>
      <c r="C32" s="21" t="s">
        <v>28</v>
      </c>
      <c r="E32" s="46">
        <f>D_JSR!E35</f>
        <v>0</v>
      </c>
      <c r="F32" s="46">
        <f>D_JSR!F35</f>
        <v>2000</v>
      </c>
      <c r="G32" s="46">
        <f>D_JSR!G35</f>
        <v>31.108804161254735</v>
      </c>
      <c r="H32" s="46">
        <f>D_JSR!H35</f>
        <v>276.97324477556867</v>
      </c>
      <c r="I32" s="46">
        <f>D_JSR!I35</f>
        <v>2402.7570842915156</v>
      </c>
    </row>
    <row r="33" spans="2:10" ht="16.5" x14ac:dyDescent="0.35">
      <c r="B33" s="21" t="s">
        <v>593</v>
      </c>
      <c r="C33" s="21" t="s">
        <v>28</v>
      </c>
      <c r="E33" s="46">
        <f>-D_JSR!E45</f>
        <v>0</v>
      </c>
      <c r="F33" s="46">
        <f>-D_JSR!F45</f>
        <v>0</v>
      </c>
      <c r="G33" s="46">
        <f>-D_JSR!G45</f>
        <v>0</v>
      </c>
      <c r="H33" s="46">
        <f>-D_JSR!H45</f>
        <v>0</v>
      </c>
      <c r="I33" s="46">
        <f>-D_JSR!I45</f>
        <v>0</v>
      </c>
    </row>
    <row r="34" spans="2:10" ht="16.5" x14ac:dyDescent="0.35">
      <c r="B34" s="21" t="s">
        <v>594</v>
      </c>
      <c r="C34" s="21" t="s">
        <v>28</v>
      </c>
      <c r="E34" s="46">
        <f>D_JSR!E45+D_JSR!E34+D_JSR!E26*前提!$D$136</f>
        <v>0</v>
      </c>
      <c r="F34" s="46">
        <f>D_JSR!F45+D_JSR!F34+D_JSR!F26*前提!$D$136</f>
        <v>0</v>
      </c>
      <c r="G34" s="46">
        <f>D_JSR!G45+D_JSR!G34+D_JSR!G26*前提!$D$136</f>
        <v>0</v>
      </c>
      <c r="H34" s="46">
        <f>D_JSR!H45+D_JSR!H34+D_JSR!H26*前提!$D$136</f>
        <v>0</v>
      </c>
      <c r="I34" s="46">
        <f>D_JSR!I45+D_JSR!I34+D_JSR!I26*前提!$D$136</f>
        <v>0</v>
      </c>
    </row>
    <row r="35" spans="2:10" ht="16.5" x14ac:dyDescent="0.35">
      <c r="B35" s="42" t="s">
        <v>583</v>
      </c>
      <c r="C35" s="21" t="s">
        <v>28</v>
      </c>
      <c r="D35" s="53">
        <f>前提!$D$127+前提!$D$128+前提!$D$129</f>
        <v>38795</v>
      </c>
      <c r="E35" s="58">
        <f>D35+E25+E26+E27+E28+E29+E30+E31+E32+E33+E34</f>
        <v>39536</v>
      </c>
      <c r="F35" s="58">
        <f>E35+F25+F26+F27+F28+F29+F30+F31+F32+F33+F34</f>
        <v>42226.355583320001</v>
      </c>
      <c r="G35" s="58">
        <f>F35+G25+G26+G27+G28+G29+G30+G31+G32+G33+G34</f>
        <v>39691.999176474012</v>
      </c>
      <c r="H35" s="58">
        <f>G35+H25+H26+H27+H28+H29+H30+H31+H32+H33+H34</f>
        <v>40427.653826996859</v>
      </c>
      <c r="I35" s="58">
        <f>H35+I25+I26+I27+I28+I29+I30+I31+I32+I33+I34</f>
        <v>43373.041053795416</v>
      </c>
    </row>
    <row r="36" spans="2:10" ht="16.5" x14ac:dyDescent="0.35">
      <c r="B36" s="21" t="s">
        <v>584</v>
      </c>
      <c r="C36" s="21" t="s">
        <v>28</v>
      </c>
      <c r="D36" s="46">
        <f>前提!$D$127</f>
        <v>17617</v>
      </c>
      <c r="E36" s="46">
        <f>D36+連結PL!E44-連結PL!E46</f>
        <v>18448.264330000002</v>
      </c>
      <c r="F36" s="46">
        <f>E36+連結PL!F44-連結PL!F46</f>
        <v>19216.792356188773</v>
      </c>
      <c r="G36" s="46">
        <f>F36+連結PL!G44-連結PL!G46</f>
        <v>17607.556315328358</v>
      </c>
      <c r="H36" s="46">
        <f>G36+連結PL!H44-連結PL!H46</f>
        <v>18844.300660742865</v>
      </c>
      <c r="I36" s="46">
        <f>H36+連結PL!I44-連結PL!I46</f>
        <v>20278.427752096544</v>
      </c>
    </row>
    <row r="37" spans="2:10" ht="16.5" x14ac:dyDescent="0.35">
      <c r="B37" s="21" t="s">
        <v>585</v>
      </c>
      <c r="C37" s="21" t="s">
        <v>28</v>
      </c>
      <c r="D37" s="46">
        <f>前提!$D$128</f>
        <v>6530</v>
      </c>
      <c r="E37" s="46">
        <f>D37+連結PL!E43-連結PL!E47</f>
        <v>7086.2709999999997</v>
      </c>
      <c r="F37" s="46">
        <f>E37+連結PL!F43-連結PL!F47</f>
        <v>7667.2381463414631</v>
      </c>
      <c r="G37" s="46">
        <f>F37+連結PL!G43-連結PL!G47</f>
        <v>8275.3710536585349</v>
      </c>
      <c r="H37" s="46">
        <f>G37+連結PL!H43-連結PL!H47</f>
        <v>8910.6697219512171</v>
      </c>
      <c r="I37" s="46">
        <f>H37+連結PL!I43-連結PL!I47</f>
        <v>9573.1341512195104</v>
      </c>
    </row>
    <row r="38" spans="2:10" ht="16.5" x14ac:dyDescent="0.35">
      <c r="B38" s="42" t="s">
        <v>586</v>
      </c>
      <c r="C38" s="21" t="s">
        <v>28</v>
      </c>
      <c r="D38" s="58">
        <f t="shared" ref="D38:I38" si="6">D35-D36-D37</f>
        <v>14648</v>
      </c>
      <c r="E38" s="58">
        <f t="shared" si="6"/>
        <v>14001.464669999998</v>
      </c>
      <c r="F38" s="58">
        <f t="shared" si="6"/>
        <v>15342.325080789764</v>
      </c>
      <c r="G38" s="58">
        <f t="shared" si="6"/>
        <v>13809.071807487118</v>
      </c>
      <c r="H38" s="58">
        <f t="shared" si="6"/>
        <v>12672.683444302776</v>
      </c>
      <c r="I38" s="58">
        <f t="shared" si="6"/>
        <v>13521.479150479361</v>
      </c>
    </row>
    <row r="39" spans="2:10" ht="16.5" x14ac:dyDescent="0.35">
      <c r="B39" s="21" t="s">
        <v>587</v>
      </c>
      <c r="C39" s="21" t="s">
        <v>28</v>
      </c>
      <c r="D39" s="46">
        <f>前提!$D$130</f>
        <v>4500</v>
      </c>
      <c r="E39" s="46">
        <f>前提!$D$130</f>
        <v>4500</v>
      </c>
      <c r="F39" s="46">
        <f>前提!$D$130</f>
        <v>4500</v>
      </c>
      <c r="G39" s="46">
        <f>前提!$D$130</f>
        <v>4500</v>
      </c>
      <c r="H39" s="46">
        <f>前提!$D$130</f>
        <v>4500</v>
      </c>
      <c r="I39" s="46">
        <f>前提!$D$130</f>
        <v>4500</v>
      </c>
    </row>
    <row r="40" spans="2:10" ht="16.5" x14ac:dyDescent="0.35">
      <c r="B40" s="21" t="s">
        <v>588</v>
      </c>
      <c r="C40" s="21" t="s">
        <v>28</v>
      </c>
      <c r="D40" s="51">
        <f t="shared" ref="D40:I40" si="7">D38+D39</f>
        <v>19148</v>
      </c>
      <c r="E40" s="51">
        <f t="shared" si="7"/>
        <v>18501.464669999998</v>
      </c>
      <c r="F40" s="51">
        <f t="shared" si="7"/>
        <v>19842.325080789764</v>
      </c>
      <c r="G40" s="51">
        <f t="shared" si="7"/>
        <v>18309.071807487118</v>
      </c>
      <c r="H40" s="51">
        <f t="shared" si="7"/>
        <v>17172.683444302776</v>
      </c>
      <c r="I40" s="51">
        <f t="shared" si="7"/>
        <v>18021.479150479361</v>
      </c>
    </row>
    <row r="41" spans="2:10" ht="16.5" x14ac:dyDescent="0.35">
      <c r="B41" s="21" t="s">
        <v>589</v>
      </c>
      <c r="C41" s="21" t="s">
        <v>28</v>
      </c>
      <c r="D41" s="51">
        <f t="shared" ref="D41:I41" si="8">D36+D37</f>
        <v>24147</v>
      </c>
      <c r="E41" s="51">
        <f t="shared" si="8"/>
        <v>25534.535330000002</v>
      </c>
      <c r="F41" s="51">
        <f t="shared" si="8"/>
        <v>26884.030502530237</v>
      </c>
      <c r="G41" s="51">
        <f t="shared" si="8"/>
        <v>25882.927368986893</v>
      </c>
      <c r="H41" s="51">
        <f t="shared" si="8"/>
        <v>27754.970382694082</v>
      </c>
      <c r="I41" s="51">
        <f t="shared" si="8"/>
        <v>29851.561903316055</v>
      </c>
    </row>
    <row r="42" spans="2:10" ht="16.5" x14ac:dyDescent="0.35">
      <c r="B42" s="21" t="s">
        <v>590</v>
      </c>
      <c r="C42" s="21" t="s">
        <v>28</v>
      </c>
      <c r="D42" s="51">
        <f t="shared" ref="D42:I42" si="9">D41+D40</f>
        <v>43295</v>
      </c>
      <c r="E42" s="51">
        <f t="shared" si="9"/>
        <v>44036</v>
      </c>
      <c r="F42" s="51">
        <f t="shared" si="9"/>
        <v>46726.355583320001</v>
      </c>
      <c r="G42" s="51">
        <f t="shared" si="9"/>
        <v>44191.999176474012</v>
      </c>
      <c r="H42" s="51">
        <f t="shared" si="9"/>
        <v>44927.653826996859</v>
      </c>
      <c r="I42" s="51">
        <f t="shared" si="9"/>
        <v>47873.041053795416</v>
      </c>
    </row>
    <row r="43" spans="2:10" ht="16.5" x14ac:dyDescent="0.35">
      <c r="B43" s="21" t="s">
        <v>595</v>
      </c>
      <c r="C43" s="21" t="s">
        <v>28</v>
      </c>
      <c r="D43" s="46">
        <f>N(D_JSR!D38)</f>
        <v>0</v>
      </c>
      <c r="E43" s="46">
        <f>N(D_JSR!E38)</f>
        <v>0</v>
      </c>
      <c r="F43" s="46">
        <f>N(D_JSR!F38)</f>
        <v>0</v>
      </c>
      <c r="G43" s="46">
        <f>N(D_JSR!G38)</f>
        <v>0</v>
      </c>
      <c r="H43" s="46">
        <f>N(D_JSR!H38)</f>
        <v>0</v>
      </c>
      <c r="I43" s="46">
        <f>N(D_JSR!I38)</f>
        <v>0</v>
      </c>
    </row>
    <row r="44" spans="2:10" ht="16.5" x14ac:dyDescent="0.35">
      <c r="B44" s="21" t="s">
        <v>596</v>
      </c>
      <c r="C44" s="21" t="s">
        <v>28</v>
      </c>
      <c r="D44" s="46">
        <f>D38-前提!$D$147*D43</f>
        <v>14648</v>
      </c>
      <c r="E44" s="46">
        <f>E38-前提!$D$147*E43</f>
        <v>14001.464669999998</v>
      </c>
      <c r="F44" s="46">
        <f>F38-前提!$D$147*F43</f>
        <v>15342.325080789764</v>
      </c>
      <c r="G44" s="46">
        <f>G38-前提!$D$147*G43</f>
        <v>13809.071807487118</v>
      </c>
      <c r="H44" s="46">
        <f>H38-前提!$D$147*H43</f>
        <v>12672.683444302776</v>
      </c>
      <c r="I44" s="46">
        <f>I38-前提!$D$147*I43</f>
        <v>13521.479150479361</v>
      </c>
    </row>
    <row r="45" spans="2:10" ht="16.5" x14ac:dyDescent="0.35">
      <c r="B45" s="21" t="s">
        <v>597</v>
      </c>
      <c r="C45" s="21" t="s">
        <v>28</v>
      </c>
      <c r="D45" s="46">
        <f>D36+前提!$D$147*D43</f>
        <v>17617</v>
      </c>
      <c r="E45" s="46">
        <f>E36+前提!$D$147*E43</f>
        <v>18448.264330000002</v>
      </c>
      <c r="F45" s="46">
        <f>F36+前提!$D$147*F43</f>
        <v>19216.792356188773</v>
      </c>
      <c r="G45" s="46">
        <f>G36+前提!$D$147*G43</f>
        <v>17607.556315328358</v>
      </c>
      <c r="H45" s="46">
        <f>H36+前提!$D$147*H43</f>
        <v>18844.300660742865</v>
      </c>
      <c r="I45" s="46">
        <f>I36+前提!$D$147*I43</f>
        <v>20278.427752096544</v>
      </c>
    </row>
    <row r="46" spans="2:10" ht="16.5" x14ac:dyDescent="0.35">
      <c r="B46" s="42" t="s">
        <v>598</v>
      </c>
      <c r="C46" s="21" t="s">
        <v>22</v>
      </c>
      <c r="D46" s="62">
        <f t="shared" ref="D46:I46" si="10">D44/D45</f>
        <v>0.83146960322415853</v>
      </c>
      <c r="E46" s="62">
        <f t="shared" si="10"/>
        <v>0.75895837242700637</v>
      </c>
      <c r="F46" s="62">
        <f t="shared" si="10"/>
        <v>0.79838116561886896</v>
      </c>
      <c r="G46" s="62">
        <f t="shared" si="10"/>
        <v>0.78426963743205824</v>
      </c>
      <c r="H46" s="62">
        <f t="shared" si="10"/>
        <v>0.67249422902187994</v>
      </c>
      <c r="I46" s="62">
        <f t="shared" si="10"/>
        <v>0.66679129742104404</v>
      </c>
      <c r="J46" s="5" t="s">
        <v>599</v>
      </c>
    </row>
    <row r="47" spans="2:10" ht="16.5" x14ac:dyDescent="0.35">
      <c r="B47" s="21" t="s">
        <v>591</v>
      </c>
      <c r="C47" s="21" t="s">
        <v>28</v>
      </c>
      <c r="D47" s="63">
        <f t="shared" ref="D47:I47" si="11">D35-D41-D38</f>
        <v>0</v>
      </c>
      <c r="E47" s="63">
        <f t="shared" si="11"/>
        <v>0</v>
      </c>
      <c r="F47" s="63">
        <f t="shared" si="11"/>
        <v>0</v>
      </c>
      <c r="G47" s="63">
        <f t="shared" si="11"/>
        <v>0</v>
      </c>
      <c r="H47" s="63">
        <f t="shared" si="11"/>
        <v>0</v>
      </c>
      <c r="I47" s="63">
        <f t="shared" si="11"/>
        <v>0</v>
      </c>
    </row>
    <row r="49" spans="2:9" ht="17.100000000000001" customHeight="1" x14ac:dyDescent="0.15">
      <c r="B49" s="72" t="s">
        <v>600</v>
      </c>
      <c r="C49" s="73"/>
      <c r="D49" s="73"/>
      <c r="E49" s="73"/>
      <c r="F49" s="73"/>
      <c r="G49" s="73"/>
      <c r="H49" s="73"/>
      <c r="I49" s="73"/>
    </row>
  </sheetData>
  <mergeCells count="1">
    <mergeCell ref="B49:I49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J5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601</v>
      </c>
    </row>
    <row r="2" spans="2:10" ht="16.5" x14ac:dyDescent="0.35">
      <c r="B2" s="21" t="s">
        <v>602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575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603</v>
      </c>
      <c r="C6" s="21" t="s">
        <v>28</v>
      </c>
      <c r="E6" s="46">
        <f>前提!E18+分社化・合併!E36</f>
        <v>3391</v>
      </c>
      <c r="F6" s="46">
        <f>前提!F18+分社化・合併!F36</f>
        <v>3300</v>
      </c>
      <c r="G6" s="46">
        <f>前提!G18+分社化・合併!G36</f>
        <v>2920</v>
      </c>
      <c r="H6" s="46">
        <f>前提!H18+分社化・合併!H36</f>
        <v>2720</v>
      </c>
      <c r="I6" s="46">
        <f>前提!I18+分社化・合併!I36</f>
        <v>2720</v>
      </c>
      <c r="J6" s="5" t="s">
        <v>604</v>
      </c>
    </row>
    <row r="7" spans="2:10" ht="33" x14ac:dyDescent="0.35">
      <c r="B7" s="21" t="s">
        <v>605</v>
      </c>
      <c r="C7" s="21" t="s">
        <v>28</v>
      </c>
      <c r="E7" s="46">
        <f>前提!E19+分社化・合併!E37</f>
        <v>2794</v>
      </c>
      <c r="F7" s="46">
        <f>前提!F19+分社化・合併!F37</f>
        <v>2850</v>
      </c>
      <c r="G7" s="46">
        <f>前提!G19+分社化・合併!G37</f>
        <v>2600</v>
      </c>
      <c r="H7" s="46">
        <f>前提!H19+分社化・合併!H37</f>
        <v>2650</v>
      </c>
      <c r="I7" s="46">
        <f>前提!I19+分社化・合併!I37</f>
        <v>2700</v>
      </c>
      <c r="J7" s="5" t="s">
        <v>606</v>
      </c>
    </row>
    <row r="8" spans="2:10" ht="16.5" x14ac:dyDescent="0.35">
      <c r="B8" s="21" t="s">
        <v>607</v>
      </c>
      <c r="C8" s="21" t="s">
        <v>28</v>
      </c>
      <c r="E8" s="46">
        <f>連結PL!D6-分社化・合併!E7*N(D_石化!D14)</f>
        <v>37040</v>
      </c>
      <c r="F8" s="46">
        <f>連結PL!E6-分社化・合併!F7*N(D_石化!E14)</f>
        <v>38000</v>
      </c>
      <c r="G8" s="46">
        <f>連結PL!F6-分社化・合併!G7*N(D_石化!F14)</f>
        <v>32972.381999999998</v>
      </c>
      <c r="H8" s="46">
        <f>連結PL!G6-分社化・合併!H7*N(D_石化!G14)</f>
        <v>34705.647268936002</v>
      </c>
      <c r="I8" s="46">
        <f>連結PL!H6-分社化・合併!I7*N(D_石化!H14)</f>
        <v>36452.355573278284</v>
      </c>
      <c r="J8" s="5" t="s">
        <v>608</v>
      </c>
    </row>
    <row r="9" spans="2:10" ht="16.5" x14ac:dyDescent="0.35">
      <c r="B9" s="21" t="s">
        <v>609</v>
      </c>
      <c r="C9" s="21" t="s">
        <v>28</v>
      </c>
      <c r="E9" s="46">
        <f>前提!$D$131*(連結PL!E6-E8)</f>
        <v>144</v>
      </c>
      <c r="F9" s="46">
        <f>前提!$D$131*(連結PL!F6-F8)</f>
        <v>195.35729999999967</v>
      </c>
      <c r="G9" s="46">
        <f>前提!$D$131*(連結PL!G6-G8)</f>
        <v>259.98979034040059</v>
      </c>
      <c r="H9" s="46">
        <f>前提!$D$131*(連結PL!H6-H8)</f>
        <v>262.0062456513424</v>
      </c>
      <c r="I9" s="46">
        <f>前提!$D$131*(連結PL!I6-I8)</f>
        <v>193.30646509148718</v>
      </c>
      <c r="J9" s="5" t="s">
        <v>610</v>
      </c>
    </row>
    <row r="10" spans="2:10" ht="16.5" x14ac:dyDescent="0.35">
      <c r="B10" s="21" t="s">
        <v>545</v>
      </c>
      <c r="C10" s="21" t="s">
        <v>28</v>
      </c>
      <c r="E10" s="46">
        <f>連結PL!E18</f>
        <v>1976.1392000000001</v>
      </c>
      <c r="F10" s="46">
        <f>連結PL!F18</f>
        <v>1901.7589379907226</v>
      </c>
      <c r="G10" s="46">
        <f>連結PL!G18</f>
        <v>-488.012790254219</v>
      </c>
      <c r="H10" s="46">
        <f>連結PL!H18</f>
        <v>2601.9218036278121</v>
      </c>
      <c r="I10" s="46">
        <f>連結PL!I18</f>
        <v>2826.1297807564151</v>
      </c>
    </row>
    <row r="11" spans="2:10" ht="16.5" x14ac:dyDescent="0.35">
      <c r="B11" s="21" t="s">
        <v>611</v>
      </c>
      <c r="C11" s="21" t="s">
        <v>28</v>
      </c>
      <c r="E11" s="51">
        <f>E7</f>
        <v>2794</v>
      </c>
      <c r="F11" s="51">
        <f>F7</f>
        <v>2850</v>
      </c>
      <c r="G11" s="51">
        <f>G7</f>
        <v>2600</v>
      </c>
      <c r="H11" s="51">
        <f>H7</f>
        <v>2650</v>
      </c>
      <c r="I11" s="51">
        <f>I7</f>
        <v>2700</v>
      </c>
    </row>
    <row r="12" spans="2:10" ht="33" x14ac:dyDescent="0.35">
      <c r="B12" s="21" t="s">
        <v>612</v>
      </c>
      <c r="C12" s="21" t="s">
        <v>28</v>
      </c>
      <c r="E12" s="46">
        <f>-連結PL!E17</f>
        <v>0</v>
      </c>
      <c r="F12" s="46">
        <f>-連結PL!F17</f>
        <v>0</v>
      </c>
      <c r="G12" s="46">
        <f>-連結PL!G17</f>
        <v>2696.7176188386252</v>
      </c>
      <c r="H12" s="46">
        <f>-連結PL!H17</f>
        <v>0</v>
      </c>
      <c r="I12" s="46">
        <f>-連結PL!I17</f>
        <v>0</v>
      </c>
      <c r="J12" s="5" t="s">
        <v>613</v>
      </c>
    </row>
    <row r="13" spans="2:10" ht="16.5" x14ac:dyDescent="0.35">
      <c r="B13" s="21" t="s">
        <v>614</v>
      </c>
      <c r="C13" s="21" t="s">
        <v>28</v>
      </c>
      <c r="E13" s="46">
        <f>-連結PL!E8</f>
        <v>0</v>
      </c>
      <c r="F13" s="46">
        <f>-連結PL!F8</f>
        <v>0</v>
      </c>
      <c r="G13" s="46">
        <f>-連結PL!G8</f>
        <v>55.742290199672667</v>
      </c>
      <c r="H13" s="46">
        <f>-連結PL!H8</f>
        <v>6.7422901996726692</v>
      </c>
      <c r="I13" s="46">
        <f>-連結PL!I8</f>
        <v>-45.62885490016366</v>
      </c>
    </row>
    <row r="14" spans="2:10" ht="16.5" x14ac:dyDescent="0.35">
      <c r="B14" s="21" t="s">
        <v>609</v>
      </c>
      <c r="C14" s="21" t="s">
        <v>28</v>
      </c>
      <c r="E14" s="51">
        <f>-E9</f>
        <v>-144</v>
      </c>
      <c r="F14" s="51">
        <f>-F9</f>
        <v>-195.35729999999967</v>
      </c>
      <c r="G14" s="51">
        <f>-G9</f>
        <v>-259.98979034040059</v>
      </c>
      <c r="H14" s="51">
        <f>-H9</f>
        <v>-262.0062456513424</v>
      </c>
      <c r="I14" s="51">
        <f>-I9</f>
        <v>-193.30646509148718</v>
      </c>
    </row>
    <row r="15" spans="2:10" ht="16.5" x14ac:dyDescent="0.35">
      <c r="B15" s="42" t="s">
        <v>615</v>
      </c>
      <c r="C15" s="21" t="s">
        <v>28</v>
      </c>
      <c r="E15" s="58">
        <f>E10+E11+E12+E13+E14</f>
        <v>4626.1391999999996</v>
      </c>
      <c r="F15" s="58">
        <f>F10+F11+F12+F13+F14</f>
        <v>4556.4016379907225</v>
      </c>
      <c r="G15" s="58">
        <f>G10+G11+G12+G13+G14</f>
        <v>4604.4573284436783</v>
      </c>
      <c r="H15" s="58">
        <f>H10+H11+H12+H13+H14</f>
        <v>4996.6578481761426</v>
      </c>
      <c r="I15" s="58">
        <f>I10+I11+I12+I13+I14</f>
        <v>5287.1944607647638</v>
      </c>
    </row>
    <row r="16" spans="2:10" ht="16.5" x14ac:dyDescent="0.35">
      <c r="B16" s="21" t="s">
        <v>616</v>
      </c>
      <c r="C16" s="21" t="s">
        <v>28</v>
      </c>
      <c r="E16" s="51">
        <f>-E6</f>
        <v>-3391</v>
      </c>
      <c r="F16" s="51">
        <f>-F6</f>
        <v>-3300</v>
      </c>
      <c r="G16" s="51">
        <f>-G6</f>
        <v>-2920</v>
      </c>
      <c r="H16" s="51">
        <f>-H6</f>
        <v>-2720</v>
      </c>
      <c r="I16" s="51">
        <f>-I6</f>
        <v>-2720</v>
      </c>
    </row>
    <row r="17" spans="2:10" ht="16.5" x14ac:dyDescent="0.35">
      <c r="B17" s="42" t="s">
        <v>617</v>
      </c>
      <c r="C17" s="21" t="s">
        <v>28</v>
      </c>
      <c r="E17" s="58">
        <f>E16</f>
        <v>-3391</v>
      </c>
      <c r="F17" s="58">
        <f>F16</f>
        <v>-3300</v>
      </c>
      <c r="G17" s="58">
        <f>G16</f>
        <v>-2920</v>
      </c>
      <c r="H17" s="58">
        <f>H16</f>
        <v>-2720</v>
      </c>
      <c r="I17" s="58">
        <f>I16</f>
        <v>-2720</v>
      </c>
    </row>
    <row r="18" spans="2:10" ht="16.5" x14ac:dyDescent="0.35">
      <c r="B18" s="42" t="s">
        <v>618</v>
      </c>
      <c r="C18" s="21" t="s">
        <v>28</v>
      </c>
      <c r="E18" s="58">
        <f>E15+E17</f>
        <v>1235.1391999999996</v>
      </c>
      <c r="F18" s="58">
        <f>F15+F17</f>
        <v>1256.4016379907225</v>
      </c>
      <c r="G18" s="58">
        <f>G15+G17</f>
        <v>1684.4573284436783</v>
      </c>
      <c r="H18" s="58">
        <f>H15+H17</f>
        <v>2276.6578481761426</v>
      </c>
      <c r="I18" s="58">
        <f>I15+I17</f>
        <v>2567.1944607647638</v>
      </c>
    </row>
    <row r="19" spans="2:10" ht="16.5" x14ac:dyDescent="0.35">
      <c r="B19" s="21" t="s">
        <v>552</v>
      </c>
      <c r="C19" s="21" t="s">
        <v>28</v>
      </c>
      <c r="E19" s="46">
        <f>-連結PL!E23</f>
        <v>-447.60387000000003</v>
      </c>
      <c r="F19" s="46">
        <f>-連結PL!F23</f>
        <v>-434.78399999999999</v>
      </c>
      <c r="G19" s="46">
        <f>-連結PL!G23</f>
        <v>-434.78399999999999</v>
      </c>
      <c r="H19" s="46">
        <f>-連結PL!H23</f>
        <v>-631.26468273314879</v>
      </c>
      <c r="I19" s="46">
        <f>-連結PL!I23</f>
        <v>-697.58140960620858</v>
      </c>
    </row>
    <row r="20" spans="2:10" ht="16.5" x14ac:dyDescent="0.35">
      <c r="B20" s="21" t="s">
        <v>554</v>
      </c>
      <c r="C20" s="21" t="s">
        <v>28</v>
      </c>
      <c r="E20" s="46">
        <f>-連結PL!E24</f>
        <v>-141</v>
      </c>
      <c r="F20" s="46">
        <f>-連結PL!F24</f>
        <v>-147.87804878048783</v>
      </c>
      <c r="G20" s="46">
        <f>-連結PL!G24</f>
        <v>-155.44390243902441</v>
      </c>
      <c r="H20" s="46">
        <f>-連結PL!H24</f>
        <v>-163.00975609756097</v>
      </c>
      <c r="I20" s="46">
        <f>-連結PL!I24</f>
        <v>-170.57560975609755</v>
      </c>
    </row>
    <row r="21" spans="2:10" ht="16.5" x14ac:dyDescent="0.35">
      <c r="B21" s="21" t="s">
        <v>619</v>
      </c>
      <c r="C21" s="21" t="s">
        <v>28</v>
      </c>
      <c r="E21" s="51">
        <f>-(E18+E19+E20)</f>
        <v>-646.53532999999959</v>
      </c>
      <c r="F21" s="51">
        <f>-(F18+F19+F20)</f>
        <v>-673.73958921023473</v>
      </c>
      <c r="G21" s="51">
        <f>-(G18+G19+G20)</f>
        <v>-1094.2294260046538</v>
      </c>
      <c r="H21" s="51">
        <f>-(H18+H19+H20)</f>
        <v>-1482.3834093454329</v>
      </c>
      <c r="I21" s="51">
        <f>-(I18+I19+I20)</f>
        <v>-1699.0374414024577</v>
      </c>
    </row>
    <row r="22" spans="2:10" ht="16.5" x14ac:dyDescent="0.35">
      <c r="B22" s="42" t="s">
        <v>620</v>
      </c>
      <c r="C22" s="21" t="s">
        <v>28</v>
      </c>
      <c r="E22" s="58">
        <f>E19+E20+E21</f>
        <v>-1235.1391999999996</v>
      </c>
      <c r="F22" s="58">
        <f>F19+F20+F21</f>
        <v>-1256.4016379907225</v>
      </c>
      <c r="G22" s="58">
        <f>G19+G20+G21</f>
        <v>-1684.4573284436783</v>
      </c>
      <c r="H22" s="58">
        <f>H19+H20+H21</f>
        <v>-2276.6578481761426</v>
      </c>
      <c r="I22" s="58">
        <f>I19+I20+I21</f>
        <v>-2567.1944607647638</v>
      </c>
    </row>
    <row r="23" spans="2:10" ht="16.5" x14ac:dyDescent="0.35">
      <c r="B23" s="21" t="s">
        <v>621</v>
      </c>
      <c r="C23" s="21" t="s">
        <v>28</v>
      </c>
      <c r="E23" s="51">
        <f>E15+E17+E22</f>
        <v>0</v>
      </c>
      <c r="F23" s="51">
        <f>F15+F17+F22</f>
        <v>0</v>
      </c>
      <c r="G23" s="51">
        <f>G15+G17+G22</f>
        <v>0</v>
      </c>
      <c r="H23" s="51">
        <f>H15+H17+H22</f>
        <v>0</v>
      </c>
      <c r="I23" s="51">
        <f>I15+I17+I22</f>
        <v>0</v>
      </c>
    </row>
    <row r="24" spans="2:10" ht="16.5" x14ac:dyDescent="0.35">
      <c r="B24" s="21" t="s">
        <v>622</v>
      </c>
      <c r="C24" s="21" t="s">
        <v>28</v>
      </c>
      <c r="E24" s="46">
        <f>-分社化・合併!E26</f>
        <v>0</v>
      </c>
      <c r="F24" s="46">
        <f>-分社化・合併!F26</f>
        <v>0</v>
      </c>
      <c r="G24" s="46">
        <f>-分社化・合併!G26</f>
        <v>-500</v>
      </c>
      <c r="H24" s="46">
        <f>-分社化・合併!H26</f>
        <v>0</v>
      </c>
      <c r="I24" s="46">
        <f>-分社化・合併!I26</f>
        <v>0</v>
      </c>
    </row>
    <row r="25" spans="2:10" ht="16.5" x14ac:dyDescent="0.35">
      <c r="B25" s="42" t="s">
        <v>623</v>
      </c>
      <c r="C25" s="21" t="s">
        <v>28</v>
      </c>
      <c r="D25" s="53">
        <f>前提!$D$129</f>
        <v>14648</v>
      </c>
      <c r="E25" s="58">
        <f>D25+E21+E24</f>
        <v>14001.464670000001</v>
      </c>
      <c r="F25" s="58">
        <f>E25+F21+F24</f>
        <v>13327.725080789767</v>
      </c>
      <c r="G25" s="58">
        <f>F25+G21+G24</f>
        <v>11733.495654785114</v>
      </c>
      <c r="H25" s="58">
        <f>G25+H21+H24</f>
        <v>10251.112245439681</v>
      </c>
      <c r="I25" s="58">
        <f>H25+I21+I24</f>
        <v>8552.0748040372237</v>
      </c>
    </row>
    <row r="27" spans="2:10" ht="20.100000000000001" customHeight="1" x14ac:dyDescent="0.35">
      <c r="B27" s="22" t="s">
        <v>559</v>
      </c>
      <c r="C27" s="4"/>
      <c r="D27" s="4"/>
      <c r="E27" s="4"/>
      <c r="F27" s="4"/>
      <c r="G27" s="4"/>
      <c r="H27" s="4"/>
      <c r="I27" s="4"/>
      <c r="J27" s="4"/>
    </row>
    <row r="28" spans="2:10" ht="16.5" x14ac:dyDescent="0.35">
      <c r="B28" s="21" t="s">
        <v>603</v>
      </c>
      <c r="C28" s="21" t="s">
        <v>28</v>
      </c>
      <c r="E28" s="46">
        <f>E6+D_JSR!E29*前提!$D$152</f>
        <v>3391</v>
      </c>
      <c r="F28" s="46">
        <f>F6+D_JSR!F29*前提!$D$152</f>
        <v>3300</v>
      </c>
      <c r="G28" s="46">
        <f>G6+D_JSR!G29*前提!$D$152</f>
        <v>2920</v>
      </c>
      <c r="H28" s="46">
        <f>H6+D_JSR!H29*前提!$D$152</f>
        <v>2720</v>
      </c>
      <c r="I28" s="46">
        <f>I6+D_JSR!I29*前提!$D$152</f>
        <v>2720</v>
      </c>
      <c r="J28" s="5" t="s">
        <v>624</v>
      </c>
    </row>
    <row r="29" spans="2:10" ht="16.5" x14ac:dyDescent="0.35">
      <c r="B29" s="21" t="s">
        <v>605</v>
      </c>
      <c r="C29" s="21" t="s">
        <v>28</v>
      </c>
      <c r="E29" s="46">
        <f>E7+D_JSR!E29*前提!$D$151</f>
        <v>2794</v>
      </c>
      <c r="F29" s="46">
        <f>F7+D_JSR!F29*前提!$D$151</f>
        <v>2850</v>
      </c>
      <c r="G29" s="46">
        <f>G7+D_JSR!G29*前提!$D$151</f>
        <v>2600</v>
      </c>
      <c r="H29" s="46">
        <f>H7+D_JSR!H29*前提!$D$151</f>
        <v>2650</v>
      </c>
      <c r="I29" s="46">
        <f>I7+D_JSR!I29*前提!$D$151</f>
        <v>2700</v>
      </c>
      <c r="J29" s="5" t="s">
        <v>625</v>
      </c>
    </row>
    <row r="30" spans="2:10" ht="16.5" x14ac:dyDescent="0.35">
      <c r="B30" s="21" t="s">
        <v>607</v>
      </c>
      <c r="C30" s="21" t="s">
        <v>28</v>
      </c>
      <c r="E30" s="46">
        <f>連結PL!D29-分社化・合併!E7*N(D_石化!D14)+D_JSR!E26*N(D_JSR!D14)</f>
        <v>37040</v>
      </c>
      <c r="F30" s="46">
        <f>連結PL!E29-分社化・合併!F7*N(D_石化!E14)+D_JSR!F26*N(D_JSR!E14)</f>
        <v>38000</v>
      </c>
      <c r="G30" s="46">
        <f>連結PL!F29-分社化・合併!G7*N(D_石化!F14)+D_JSR!G26*N(D_JSR!F14)</f>
        <v>32972.381999999998</v>
      </c>
      <c r="H30" s="46">
        <f>連結PL!G29-分社化・合併!H7*N(D_石化!G14)+D_JSR!H26*N(D_JSR!G14)</f>
        <v>34705.647268936002</v>
      </c>
      <c r="I30" s="46">
        <f>連結PL!H29-分社化・合併!I7*N(D_石化!H14)+D_JSR!I26*N(D_JSR!H14)</f>
        <v>36452.355573278284</v>
      </c>
      <c r="J30" s="5" t="s">
        <v>626</v>
      </c>
    </row>
    <row r="31" spans="2:10" ht="16.5" x14ac:dyDescent="0.35">
      <c r="B31" s="21" t="s">
        <v>609</v>
      </c>
      <c r="C31" s="21" t="s">
        <v>28</v>
      </c>
      <c r="E31" s="46">
        <f>前提!$D$131*(連結PL!E29-E30)</f>
        <v>144</v>
      </c>
      <c r="F31" s="46">
        <f>前提!$D$131*(連結PL!F29-F30)</f>
        <v>195.35729999999967</v>
      </c>
      <c r="G31" s="46">
        <f>前提!$D$131*(連結PL!G29-G30)</f>
        <v>259.98979034040059</v>
      </c>
      <c r="H31" s="46">
        <f>前提!$D$131*(連結PL!H29-H30)</f>
        <v>262.0062456513424</v>
      </c>
      <c r="I31" s="46">
        <f>前提!$D$131*(連結PL!I29-I30)</f>
        <v>193.30646509148718</v>
      </c>
      <c r="J31" s="5" t="s">
        <v>610</v>
      </c>
    </row>
    <row r="32" spans="2:10" ht="16.5" x14ac:dyDescent="0.35">
      <c r="B32" s="21" t="s">
        <v>545</v>
      </c>
      <c r="C32" s="21" t="s">
        <v>28</v>
      </c>
      <c r="E32" s="46">
        <f>連結PL!E41</f>
        <v>1976.1392000000001</v>
      </c>
      <c r="F32" s="46">
        <f>連結PL!F41</f>
        <v>1932.1572213107227</v>
      </c>
      <c r="G32" s="46">
        <f>連結PL!G41</f>
        <v>-410.87523110431766</v>
      </c>
      <c r="H32" s="46">
        <f>連結PL!H41</f>
        <v>2700.9920327202549</v>
      </c>
      <c r="I32" s="46">
        <f>連結PL!I41</f>
        <v>3039.3894103377438</v>
      </c>
    </row>
    <row r="33" spans="2:10" ht="16.5" x14ac:dyDescent="0.35">
      <c r="B33" s="21" t="s">
        <v>611</v>
      </c>
      <c r="C33" s="21" t="s">
        <v>28</v>
      </c>
      <c r="E33" s="51">
        <f>E29</f>
        <v>2794</v>
      </c>
      <c r="F33" s="51">
        <f>F29</f>
        <v>2850</v>
      </c>
      <c r="G33" s="51">
        <f>G29</f>
        <v>2600</v>
      </c>
      <c r="H33" s="51">
        <f>H29</f>
        <v>2650</v>
      </c>
      <c r="I33" s="51">
        <f>I29</f>
        <v>2700</v>
      </c>
    </row>
    <row r="34" spans="2:10" ht="33" x14ac:dyDescent="0.35">
      <c r="B34" s="21" t="s">
        <v>612</v>
      </c>
      <c r="C34" s="21" t="s">
        <v>28</v>
      </c>
      <c r="E34" s="46">
        <f>-連結PL!E40</f>
        <v>0</v>
      </c>
      <c r="F34" s="46">
        <f>-連結PL!F40</f>
        <v>0</v>
      </c>
      <c r="G34" s="46">
        <f>-連結PL!G40</f>
        <v>2696.7176188386252</v>
      </c>
      <c r="H34" s="46">
        <f>-連結PL!H40</f>
        <v>0</v>
      </c>
      <c r="I34" s="46">
        <f>-連結PL!I40</f>
        <v>0</v>
      </c>
      <c r="J34" s="5" t="s">
        <v>613</v>
      </c>
    </row>
    <row r="35" spans="2:10" ht="16.5" x14ac:dyDescent="0.35">
      <c r="B35" s="21" t="s">
        <v>614</v>
      </c>
      <c r="C35" s="21" t="s">
        <v>28</v>
      </c>
      <c r="E35" s="46">
        <f>-連結PL!E31</f>
        <v>0</v>
      </c>
      <c r="F35" s="46">
        <f>-連結PL!F31</f>
        <v>-44.998283319999985</v>
      </c>
      <c r="G35" s="46">
        <f>-連結PL!G31</f>
        <v>-51.262617490983132</v>
      </c>
      <c r="H35" s="46">
        <f>-連結PL!H31</f>
        <v>-126.67516009594293</v>
      </c>
      <c r="I35" s="46">
        <f>-連結PL!I31</f>
        <v>-329.32367741555009</v>
      </c>
    </row>
    <row r="36" spans="2:10" ht="16.5" x14ac:dyDescent="0.35">
      <c r="B36" s="21" t="s">
        <v>609</v>
      </c>
      <c r="C36" s="21" t="s">
        <v>28</v>
      </c>
      <c r="E36" s="51">
        <f>-E31</f>
        <v>-144</v>
      </c>
      <c r="F36" s="51">
        <f>-F31</f>
        <v>-195.35729999999967</v>
      </c>
      <c r="G36" s="51">
        <f>-G31</f>
        <v>-259.98979034040059</v>
      </c>
      <c r="H36" s="51">
        <f>-H31</f>
        <v>-262.0062456513424</v>
      </c>
      <c r="I36" s="51">
        <f>-I31</f>
        <v>-193.30646509148718</v>
      </c>
    </row>
    <row r="37" spans="2:10" ht="16.5" x14ac:dyDescent="0.35">
      <c r="B37" s="42" t="s">
        <v>615</v>
      </c>
      <c r="C37" s="21" t="s">
        <v>28</v>
      </c>
      <c r="E37" s="58">
        <f>E32+E33+E34+E35+E36</f>
        <v>4626.1391999999996</v>
      </c>
      <c r="F37" s="58">
        <f>F32+F33+F34+F35+F36</f>
        <v>4541.8016379907231</v>
      </c>
      <c r="G37" s="58">
        <f>G32+G33+G34+G35+G36</f>
        <v>4574.5899799029239</v>
      </c>
      <c r="H37" s="58">
        <f>H32+H33+H34+H35+H36</f>
        <v>4962.3106269729687</v>
      </c>
      <c r="I37" s="58">
        <f>I32+I33+I34+I35+I36</f>
        <v>5216.7592678307064</v>
      </c>
    </row>
    <row r="38" spans="2:10" ht="16.5" x14ac:dyDescent="0.35">
      <c r="B38" s="21" t="s">
        <v>616</v>
      </c>
      <c r="C38" s="21" t="s">
        <v>28</v>
      </c>
      <c r="E38" s="51">
        <f>-E28</f>
        <v>-3391</v>
      </c>
      <c r="F38" s="51">
        <f>-F28</f>
        <v>-3300</v>
      </c>
      <c r="G38" s="51">
        <f>-G28</f>
        <v>-2920</v>
      </c>
      <c r="H38" s="51">
        <f>-H28</f>
        <v>-2720</v>
      </c>
      <c r="I38" s="51">
        <f>-I28</f>
        <v>-2720</v>
      </c>
    </row>
    <row r="39" spans="2:10" ht="16.5" x14ac:dyDescent="0.35">
      <c r="B39" s="21" t="s">
        <v>627</v>
      </c>
      <c r="C39" s="21" t="s">
        <v>28</v>
      </c>
      <c r="E39" s="46">
        <f>-D_JSR!E35</f>
        <v>0</v>
      </c>
      <c r="F39" s="46">
        <f>-D_JSR!F35</f>
        <v>-2000</v>
      </c>
      <c r="G39" s="46">
        <f>-D_JSR!G35</f>
        <v>-31.108804161254735</v>
      </c>
      <c r="H39" s="46">
        <f>-D_JSR!H35</f>
        <v>-276.97324477556867</v>
      </c>
      <c r="I39" s="46">
        <f>-D_JSR!I35</f>
        <v>-2402.7570842915156</v>
      </c>
    </row>
    <row r="40" spans="2:10" ht="16.5" x14ac:dyDescent="0.35">
      <c r="B40" s="21" t="s">
        <v>628</v>
      </c>
      <c r="C40" s="21" t="s">
        <v>28</v>
      </c>
      <c r="E40" s="46">
        <f>-D_JSR!E34</f>
        <v>0</v>
      </c>
      <c r="F40" s="46">
        <f>-D_JSR!F34</f>
        <v>0</v>
      </c>
      <c r="G40" s="46">
        <f>-D_JSR!G34</f>
        <v>0</v>
      </c>
      <c r="H40" s="46">
        <f>-D_JSR!H34</f>
        <v>0</v>
      </c>
      <c r="I40" s="46">
        <f>-D_JSR!I34</f>
        <v>0</v>
      </c>
    </row>
    <row r="41" spans="2:10" ht="16.5" x14ac:dyDescent="0.35">
      <c r="B41" s="42" t="s">
        <v>617</v>
      </c>
      <c r="C41" s="21" t="s">
        <v>28</v>
      </c>
      <c r="E41" s="58">
        <f>E38+E39+E40</f>
        <v>-3391</v>
      </c>
      <c r="F41" s="58">
        <f>F38+F39+F40</f>
        <v>-5300</v>
      </c>
      <c r="G41" s="58">
        <f>G38+G39+G40</f>
        <v>-2951.1088041612547</v>
      </c>
      <c r="H41" s="58">
        <f>H38+H39+H40</f>
        <v>-2996.9732447755687</v>
      </c>
      <c r="I41" s="58">
        <f>I38+I39+I40</f>
        <v>-5122.7570842915156</v>
      </c>
    </row>
    <row r="42" spans="2:10" ht="16.5" x14ac:dyDescent="0.35">
      <c r="B42" s="42" t="s">
        <v>618</v>
      </c>
      <c r="C42" s="21" t="s">
        <v>28</v>
      </c>
      <c r="E42" s="58">
        <f>E37+E41</f>
        <v>1235.1391999999996</v>
      </c>
      <c r="F42" s="58">
        <f>F37+F41</f>
        <v>-758.19836200927693</v>
      </c>
      <c r="G42" s="58">
        <f>G37+G41</f>
        <v>1623.4811757416692</v>
      </c>
      <c r="H42" s="58">
        <f>H37+H41</f>
        <v>1965.3373821974001</v>
      </c>
      <c r="I42" s="58">
        <f>I37+I41</f>
        <v>94.00218353919081</v>
      </c>
    </row>
    <row r="43" spans="2:10" ht="16.5" x14ac:dyDescent="0.35">
      <c r="B43" s="21" t="s">
        <v>552</v>
      </c>
      <c r="C43" s="21" t="s">
        <v>28</v>
      </c>
      <c r="E43" s="46">
        <f>-連結PL!E46</f>
        <v>-447.60387000000003</v>
      </c>
      <c r="F43" s="46">
        <f>-連結PL!F46</f>
        <v>-434.78399999999999</v>
      </c>
      <c r="G43" s="46">
        <f>-連結PL!G46</f>
        <v>-434.78399999999999</v>
      </c>
      <c r="H43" s="46">
        <f>-連結PL!H46</f>
        <v>-665.93926291550372</v>
      </c>
      <c r="I43" s="46">
        <f>-連結PL!I46</f>
        <v>-772.22227995967364</v>
      </c>
    </row>
    <row r="44" spans="2:10" ht="16.5" x14ac:dyDescent="0.35">
      <c r="B44" s="21" t="s">
        <v>554</v>
      </c>
      <c r="C44" s="21" t="s">
        <v>28</v>
      </c>
      <c r="E44" s="46">
        <f>-連結PL!E47</f>
        <v>-141</v>
      </c>
      <c r="F44" s="46">
        <f>-連結PL!F47</f>
        <v>-147.87804878048783</v>
      </c>
      <c r="G44" s="46">
        <f>-連結PL!G47</f>
        <v>-155.44390243902441</v>
      </c>
      <c r="H44" s="46">
        <f>-連結PL!H47</f>
        <v>-163.00975609756097</v>
      </c>
      <c r="I44" s="46">
        <f>-連結PL!I47</f>
        <v>-170.57560975609755</v>
      </c>
    </row>
    <row r="45" spans="2:10" ht="16.5" x14ac:dyDescent="0.35">
      <c r="B45" s="21" t="s">
        <v>619</v>
      </c>
      <c r="C45" s="21" t="s">
        <v>28</v>
      </c>
      <c r="E45" s="51">
        <f>-(E42+E43+E44)</f>
        <v>-646.53532999999959</v>
      </c>
      <c r="F45" s="51">
        <f>-(F42+F43+F44)</f>
        <v>1340.860410789765</v>
      </c>
      <c r="G45" s="51">
        <f>-(G42+G43+G44)</f>
        <v>-1033.2532733026446</v>
      </c>
      <c r="H45" s="51">
        <f>-(H42+H43+H44)</f>
        <v>-1136.3883631843355</v>
      </c>
      <c r="I45" s="51">
        <f>-(I42+I43+I44)</f>
        <v>848.79570617658032</v>
      </c>
    </row>
    <row r="46" spans="2:10" ht="16.5" x14ac:dyDescent="0.35">
      <c r="B46" s="42" t="s">
        <v>620</v>
      </c>
      <c r="C46" s="21" t="s">
        <v>28</v>
      </c>
      <c r="E46" s="58">
        <f>E43+E44+E45</f>
        <v>-1235.1391999999996</v>
      </c>
      <c r="F46" s="58">
        <f>F43+F44+F45</f>
        <v>758.19836200927716</v>
      </c>
      <c r="G46" s="58">
        <f>G43+G44+G45</f>
        <v>-1623.4811757416692</v>
      </c>
      <c r="H46" s="58">
        <f>H43+H44+H45</f>
        <v>-1965.3373821974001</v>
      </c>
      <c r="I46" s="58">
        <f>I43+I44+I45</f>
        <v>-94.00218353919081</v>
      </c>
    </row>
    <row r="47" spans="2:10" ht="16.5" x14ac:dyDescent="0.35">
      <c r="B47" s="21" t="s">
        <v>621</v>
      </c>
      <c r="C47" s="21" t="s">
        <v>28</v>
      </c>
      <c r="E47" s="51">
        <f>E37+E41+E46</f>
        <v>0</v>
      </c>
      <c r="F47" s="51">
        <f>F37+F41+F46</f>
        <v>0</v>
      </c>
      <c r="G47" s="51">
        <f>G37+G41+G46</f>
        <v>0</v>
      </c>
      <c r="H47" s="51">
        <f>H37+H41+H46</f>
        <v>0</v>
      </c>
      <c r="I47" s="51">
        <f>I37+I41+I46</f>
        <v>0</v>
      </c>
    </row>
    <row r="48" spans="2:10" ht="16.5" x14ac:dyDescent="0.35">
      <c r="B48" s="21" t="s">
        <v>622</v>
      </c>
      <c r="C48" s="21" t="s">
        <v>28</v>
      </c>
      <c r="E48" s="46">
        <f>-分社化・合併!E26</f>
        <v>0</v>
      </c>
      <c r="F48" s="46">
        <f>-分社化・合併!F26</f>
        <v>0</v>
      </c>
      <c r="G48" s="46">
        <f>-分社化・合併!G26</f>
        <v>-500</v>
      </c>
      <c r="H48" s="46">
        <f>-分社化・合併!H26</f>
        <v>0</v>
      </c>
      <c r="I48" s="46">
        <f>-分社化・合併!I26</f>
        <v>0</v>
      </c>
    </row>
    <row r="49" spans="2:9" ht="16.5" x14ac:dyDescent="0.35">
      <c r="B49" s="21" t="s">
        <v>629</v>
      </c>
      <c r="C49" s="21" t="s">
        <v>28</v>
      </c>
      <c r="E49" s="46">
        <f>D_JSR!E26*前提!$D$136</f>
        <v>0</v>
      </c>
      <c r="F49" s="46">
        <f>D_JSR!F26*前提!$D$136</f>
        <v>0</v>
      </c>
      <c r="G49" s="46">
        <f>D_JSR!G26*前提!$D$136</f>
        <v>0</v>
      </c>
      <c r="H49" s="46">
        <f>D_JSR!H26*前提!$D$136</f>
        <v>0</v>
      </c>
      <c r="I49" s="46">
        <f>D_JSR!I26*前提!$D$136</f>
        <v>0</v>
      </c>
    </row>
    <row r="50" spans="2:9" ht="16.5" x14ac:dyDescent="0.35">
      <c r="B50" s="42" t="s">
        <v>623</v>
      </c>
      <c r="C50" s="21" t="s">
        <v>28</v>
      </c>
      <c r="D50" s="53">
        <f>前提!$D$129</f>
        <v>14648</v>
      </c>
      <c r="E50" s="58">
        <f>D50+E45+E48+E49</f>
        <v>14001.464670000001</v>
      </c>
      <c r="F50" s="58">
        <f>E50+F45+F48+F49</f>
        <v>15342.325080789766</v>
      </c>
      <c r="G50" s="58">
        <f>F50+G45+G48+G49</f>
        <v>13809.071807487122</v>
      </c>
      <c r="H50" s="58">
        <f>G50+H45+H48+H49</f>
        <v>12672.683444302787</v>
      </c>
      <c r="I50" s="58">
        <f>H50+I45+I48+I49</f>
        <v>13521.479150479368</v>
      </c>
    </row>
    <row r="52" spans="2:9" ht="36.950000000000003" customHeight="1" x14ac:dyDescent="0.15">
      <c r="B52" s="72" t="s">
        <v>630</v>
      </c>
      <c r="C52" s="73"/>
      <c r="D52" s="73"/>
      <c r="E52" s="73"/>
      <c r="F52" s="73"/>
      <c r="G52" s="73"/>
      <c r="H52" s="73"/>
      <c r="I52" s="73"/>
    </row>
    <row r="53" spans="2:9" ht="17.100000000000001" customHeight="1" x14ac:dyDescent="0.15">
      <c r="B53" s="72" t="s">
        <v>631</v>
      </c>
      <c r="C53" s="73"/>
      <c r="D53" s="73"/>
      <c r="E53" s="73"/>
      <c r="F53" s="73"/>
      <c r="G53" s="73"/>
      <c r="H53" s="73"/>
      <c r="I53" s="73"/>
    </row>
  </sheetData>
  <mergeCells count="2">
    <mergeCell ref="B52:I52"/>
    <mergeCell ref="B53:I53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J4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632</v>
      </c>
    </row>
    <row r="2" spans="2:10" ht="16.5" x14ac:dyDescent="0.35">
      <c r="B2" s="21" t="s">
        <v>633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20.100000000000001" customHeight="1" x14ac:dyDescent="0.35">
      <c r="B5" s="22" t="s">
        <v>634</v>
      </c>
      <c r="C5" s="4"/>
      <c r="D5" s="4"/>
      <c r="E5" s="4"/>
      <c r="F5" s="4"/>
      <c r="G5" s="4"/>
      <c r="H5" s="4"/>
      <c r="I5" s="4"/>
      <c r="J5" s="4"/>
    </row>
    <row r="6" spans="2:10" ht="16.5" x14ac:dyDescent="0.35">
      <c r="B6" s="21" t="s">
        <v>635</v>
      </c>
      <c r="C6" s="21"/>
      <c r="E6" s="52">
        <f>IF(前提!E$6&gt;=前提!$D$25,1,0)</f>
        <v>0</v>
      </c>
      <c r="F6" s="52">
        <f>IF(前提!F$6&gt;=前提!$D$25,1,0)</f>
        <v>0</v>
      </c>
      <c r="G6" s="52">
        <f>IF(前提!G$6&gt;=前提!$D$25,1,0)</f>
        <v>1</v>
      </c>
      <c r="H6" s="52">
        <f>IF(前提!H$6&gt;=前提!$D$25,1,0)</f>
        <v>1</v>
      </c>
      <c r="I6" s="52">
        <f>IF(前提!I$6&gt;=前提!$D$25,1,0)</f>
        <v>1</v>
      </c>
      <c r="J6" s="5" t="s">
        <v>636</v>
      </c>
    </row>
    <row r="7" spans="2:10" ht="16.5" x14ac:dyDescent="0.35">
      <c r="B7" s="21" t="s">
        <v>637</v>
      </c>
      <c r="C7" s="21"/>
      <c r="E7" s="52">
        <f>IF(前提!E$6=前提!$D$25,1,0)</f>
        <v>0</v>
      </c>
      <c r="F7" s="52">
        <f>IF(前提!F$6=前提!$D$25,1,0)</f>
        <v>0</v>
      </c>
      <c r="G7" s="52">
        <f>IF(前提!G$6=前提!$D$25,1,0)</f>
        <v>1</v>
      </c>
      <c r="H7" s="52">
        <f>IF(前提!H$6=前提!$D$25,1,0)</f>
        <v>0</v>
      </c>
      <c r="I7" s="52">
        <f>IF(前提!I$6=前提!$D$25,1,0)</f>
        <v>0</v>
      </c>
    </row>
    <row r="8" spans="2:10" ht="16.5" x14ac:dyDescent="0.35">
      <c r="B8" s="21" t="s">
        <v>638</v>
      </c>
      <c r="C8" s="21"/>
      <c r="E8" s="52">
        <f>IF(前提!E$6=前提!$D$97,1,0)</f>
        <v>0</v>
      </c>
      <c r="F8" s="52">
        <f>IF(前提!F$6=前提!$D$97,1,0)</f>
        <v>1</v>
      </c>
      <c r="G8" s="52">
        <f>IF(前提!G$6=前提!$D$97,1,0)</f>
        <v>0</v>
      </c>
      <c r="H8" s="52">
        <f>IF(前提!H$6=前提!$D$97,1,0)</f>
        <v>0</v>
      </c>
      <c r="I8" s="52">
        <f>IF(前提!I$6=前提!$D$97,1,0)</f>
        <v>0</v>
      </c>
    </row>
    <row r="9" spans="2:10" ht="16.5" x14ac:dyDescent="0.35">
      <c r="B9" s="21" t="s">
        <v>241</v>
      </c>
      <c r="C9" s="21" t="s">
        <v>28</v>
      </c>
      <c r="E9" s="46">
        <f>E8*前提!$D$98</f>
        <v>0</v>
      </c>
      <c r="F9" s="46">
        <f>F8*前提!$D$98</f>
        <v>-50</v>
      </c>
      <c r="G9" s="46">
        <f>G8*前提!$D$98</f>
        <v>0</v>
      </c>
      <c r="H9" s="46">
        <f>H8*前提!$D$98</f>
        <v>0</v>
      </c>
      <c r="I9" s="46">
        <f>I8*前提!$D$98</f>
        <v>0</v>
      </c>
    </row>
    <row r="11" spans="2:10" ht="20.100000000000001" customHeight="1" x14ac:dyDescent="0.35">
      <c r="B11" s="22" t="s">
        <v>639</v>
      </c>
      <c r="C11" s="4"/>
      <c r="D11" s="4"/>
      <c r="E11" s="4"/>
      <c r="F11" s="4"/>
      <c r="G11" s="4"/>
      <c r="H11" s="4"/>
      <c r="I11" s="4"/>
      <c r="J11" s="4"/>
    </row>
    <row r="12" spans="2:10" ht="16.5" x14ac:dyDescent="0.35">
      <c r="B12" s="21" t="s">
        <v>640</v>
      </c>
      <c r="C12" s="21" t="s">
        <v>28</v>
      </c>
      <c r="D12" s="46">
        <f>前提!$D$99</f>
        <v>6000</v>
      </c>
      <c r="J12" s="5" t="s">
        <v>641</v>
      </c>
    </row>
    <row r="13" spans="2:10" ht="16.5" x14ac:dyDescent="0.35">
      <c r="B13" s="21" t="s">
        <v>642</v>
      </c>
      <c r="C13" s="21" t="s">
        <v>28</v>
      </c>
      <c r="D13" s="46">
        <f>前提!$D$100</f>
        <v>700</v>
      </c>
    </row>
    <row r="14" spans="2:10" ht="16.5" x14ac:dyDescent="0.35">
      <c r="B14" s="21" t="s">
        <v>643</v>
      </c>
      <c r="C14" s="21" t="s">
        <v>28</v>
      </c>
      <c r="D14" s="46">
        <f>前提!$D$101</f>
        <v>500</v>
      </c>
    </row>
    <row r="15" spans="2:10" ht="16.5" x14ac:dyDescent="0.35">
      <c r="B15" s="42" t="s">
        <v>644</v>
      </c>
      <c r="C15" s="21" t="s">
        <v>28</v>
      </c>
      <c r="D15" s="58">
        <f>D12-D13-D14</f>
        <v>4800</v>
      </c>
    </row>
    <row r="16" spans="2:10" ht="16.5" x14ac:dyDescent="0.35">
      <c r="B16" s="21" t="s">
        <v>645</v>
      </c>
      <c r="C16" s="21" t="s">
        <v>28</v>
      </c>
      <c r="D16" s="51">
        <f>D12-D13</f>
        <v>5300</v>
      </c>
    </row>
    <row r="18" spans="2:10" ht="20.100000000000001" customHeight="1" x14ac:dyDescent="0.35">
      <c r="B18" s="22" t="s">
        <v>646</v>
      </c>
      <c r="C18" s="4"/>
      <c r="D18" s="4"/>
      <c r="E18" s="4"/>
      <c r="F18" s="4"/>
      <c r="G18" s="4"/>
      <c r="H18" s="4"/>
      <c r="I18" s="4"/>
      <c r="J18" s="4"/>
    </row>
    <row r="19" spans="2:10" ht="16.5" x14ac:dyDescent="0.35">
      <c r="B19" s="21" t="s">
        <v>647</v>
      </c>
      <c r="C19" s="21" t="s">
        <v>28</v>
      </c>
      <c r="D19" s="46">
        <f>AVERAGE(D_石化!$E$13:$I$13)+前提!$D$106</f>
        <v>241.25770980032732</v>
      </c>
      <c r="J19" s="5" t="s">
        <v>648</v>
      </c>
    </row>
    <row r="20" spans="2:10" ht="16.5" x14ac:dyDescent="0.35">
      <c r="B20" s="21" t="s">
        <v>649</v>
      </c>
      <c r="C20" s="21" t="s">
        <v>28</v>
      </c>
      <c r="D20" s="46">
        <f>前提!$D$103*D19*前提!$D$107</f>
        <v>2895.0925176039277</v>
      </c>
    </row>
    <row r="21" spans="2:10" ht="16.5" x14ac:dyDescent="0.35">
      <c r="B21" s="21" t="s">
        <v>650</v>
      </c>
      <c r="C21" s="21" t="s">
        <v>28</v>
      </c>
      <c r="D21" s="46">
        <f>前提!$D$102*D20-D14</f>
        <v>947.54625880196386</v>
      </c>
    </row>
    <row r="22" spans="2:10" ht="16.5" x14ac:dyDescent="0.35">
      <c r="B22" s="42" t="s">
        <v>651</v>
      </c>
      <c r="C22" s="21" t="s">
        <v>28</v>
      </c>
      <c r="D22" s="53">
        <f>IF(前提!$D$26=1,D21,D15)</f>
        <v>947.54625880196386</v>
      </c>
      <c r="J22" s="5" t="s">
        <v>652</v>
      </c>
    </row>
    <row r="23" spans="2:10" ht="16.5" x14ac:dyDescent="0.35">
      <c r="B23" s="42" t="s">
        <v>653</v>
      </c>
      <c r="C23" s="21" t="s">
        <v>28</v>
      </c>
      <c r="E23" s="58">
        <f>E7*($D$22-$D$15)</f>
        <v>0</v>
      </c>
      <c r="F23" s="58">
        <f>F7*($D$22-$D$15)</f>
        <v>0</v>
      </c>
      <c r="G23" s="58">
        <f>G7*($D$22-$D$15)</f>
        <v>-3852.4537411980364</v>
      </c>
      <c r="H23" s="58">
        <f>H7*($D$22-$D$15)</f>
        <v>0</v>
      </c>
      <c r="I23" s="58">
        <f>I7*($D$22-$D$15)</f>
        <v>0</v>
      </c>
      <c r="J23" s="5" t="s">
        <v>654</v>
      </c>
    </row>
    <row r="24" spans="2:10" ht="16.5" x14ac:dyDescent="0.35">
      <c r="B24" s="21" t="s">
        <v>655</v>
      </c>
      <c r="C24" s="21" t="s">
        <v>28</v>
      </c>
      <c r="E24" s="46">
        <f>E23*(1-前提!$D$108)</f>
        <v>0</v>
      </c>
      <c r="F24" s="46">
        <f>F23*(1-前提!$D$108)</f>
        <v>0</v>
      </c>
      <c r="G24" s="46">
        <f>G23*(1-前提!$D$108)</f>
        <v>-2696.7176188386252</v>
      </c>
      <c r="H24" s="46">
        <f>H23*(1-前提!$D$108)</f>
        <v>0</v>
      </c>
      <c r="I24" s="46">
        <f>I23*(1-前提!$D$108)</f>
        <v>0</v>
      </c>
    </row>
    <row r="25" spans="2:10" ht="16.5" x14ac:dyDescent="0.35">
      <c r="B25" s="21" t="s">
        <v>656</v>
      </c>
      <c r="C25" s="21" t="s">
        <v>28</v>
      </c>
      <c r="E25" s="51">
        <f>E7*$D$16</f>
        <v>0</v>
      </c>
      <c r="F25" s="51">
        <f>F7*$D$16</f>
        <v>0</v>
      </c>
      <c r="G25" s="51">
        <f>G7*$D$16</f>
        <v>5300</v>
      </c>
      <c r="H25" s="51">
        <f>H7*$D$16</f>
        <v>0</v>
      </c>
      <c r="I25" s="51">
        <f>I7*$D$16</f>
        <v>0</v>
      </c>
    </row>
    <row r="26" spans="2:10" ht="16.5" x14ac:dyDescent="0.35">
      <c r="B26" s="21" t="s">
        <v>657</v>
      </c>
      <c r="C26" s="21" t="s">
        <v>28</v>
      </c>
      <c r="E26" s="51">
        <f>E7*$D$14</f>
        <v>0</v>
      </c>
      <c r="F26" s="51">
        <f>F7*$D$14</f>
        <v>0</v>
      </c>
      <c r="G26" s="51">
        <f>G7*$D$14</f>
        <v>500</v>
      </c>
      <c r="H26" s="51">
        <f>H7*$D$14</f>
        <v>0</v>
      </c>
      <c r="I26" s="51">
        <f>I7*$D$14</f>
        <v>0</v>
      </c>
    </row>
    <row r="27" spans="2:10" ht="16.5" x14ac:dyDescent="0.35">
      <c r="B27" s="21" t="s">
        <v>658</v>
      </c>
      <c r="C27" s="21" t="s">
        <v>28</v>
      </c>
      <c r="E27" s="51">
        <f>E7*$D$22</f>
        <v>0</v>
      </c>
      <c r="F27" s="51">
        <f>F7*$D$22</f>
        <v>0</v>
      </c>
      <c r="G27" s="51">
        <f>G7*$D$22</f>
        <v>947.54625880196386</v>
      </c>
      <c r="H27" s="51">
        <f>H7*$D$22</f>
        <v>0</v>
      </c>
      <c r="I27" s="51">
        <f>I7*$D$22</f>
        <v>0</v>
      </c>
    </row>
    <row r="29" spans="2:10" ht="20.100000000000001" customHeight="1" x14ac:dyDescent="0.35">
      <c r="B29" s="22" t="s">
        <v>659</v>
      </c>
      <c r="C29" s="4"/>
      <c r="D29" s="4"/>
      <c r="E29" s="4"/>
      <c r="F29" s="4"/>
      <c r="G29" s="4"/>
      <c r="H29" s="4"/>
      <c r="I29" s="4"/>
      <c r="J29" s="4"/>
    </row>
    <row r="30" spans="2:10" ht="16.5" x14ac:dyDescent="0.35">
      <c r="B30" s="21" t="s">
        <v>660</v>
      </c>
      <c r="C30" s="21" t="s">
        <v>28</v>
      </c>
      <c r="E30" s="46">
        <f>D_石化!E14*(1-E6)</f>
        <v>6830</v>
      </c>
      <c r="F30" s="46">
        <f>D_石化!F14*(1-F6)</f>
        <v>6330</v>
      </c>
      <c r="G30" s="46">
        <f>D_石化!G14*(1-G6)</f>
        <v>0</v>
      </c>
      <c r="H30" s="46">
        <f>D_石化!H14*(1-H6)</f>
        <v>0</v>
      </c>
      <c r="I30" s="46">
        <f>D_石化!I14*(1-I6)</f>
        <v>0</v>
      </c>
    </row>
    <row r="31" spans="2:10" ht="16.5" x14ac:dyDescent="0.35">
      <c r="B31" s="21" t="s">
        <v>661</v>
      </c>
      <c r="C31" s="21" t="s">
        <v>28</v>
      </c>
      <c r="E31" s="41">
        <f>D_石化!E13*(1-E6)</f>
        <v>-50</v>
      </c>
      <c r="F31" s="41">
        <f>D_石化!F13*(1-F6)</f>
        <v>-119.63184314238953</v>
      </c>
      <c r="G31" s="41">
        <f>D_石化!G13*(1-G6)</f>
        <v>0</v>
      </c>
      <c r="H31" s="41">
        <f>D_石化!H13*(1-H6)</f>
        <v>0</v>
      </c>
      <c r="I31" s="41">
        <f>D_石化!I13*(1-I6)</f>
        <v>0</v>
      </c>
    </row>
    <row r="32" spans="2:10" ht="16.5" x14ac:dyDescent="0.35">
      <c r="B32" s="21" t="s">
        <v>662</v>
      </c>
      <c r="C32" s="21" t="s">
        <v>28</v>
      </c>
      <c r="E32" s="46">
        <f>IF(前提!E$6&gt;前提!$D$25,前提!$D$104,0)</f>
        <v>0</v>
      </c>
      <c r="F32" s="46">
        <f>IF(前提!F$6&gt;前提!$D$25,前提!$D$104,0)</f>
        <v>0</v>
      </c>
      <c r="G32" s="46">
        <f>IF(前提!G$6&gt;前提!$D$25,前提!$D$104,0)</f>
        <v>0</v>
      </c>
      <c r="H32" s="46">
        <f>IF(前提!H$6&gt;前提!$D$25,前提!$D$104,0)</f>
        <v>100</v>
      </c>
      <c r="I32" s="46">
        <f>IF(前提!I$6&gt;前提!$D$25,前提!$D$104,0)</f>
        <v>100</v>
      </c>
    </row>
    <row r="33" spans="2:9" ht="16.5" x14ac:dyDescent="0.35">
      <c r="B33" s="21" t="s">
        <v>663</v>
      </c>
      <c r="C33" s="21" t="s">
        <v>28</v>
      </c>
      <c r="E33" s="41">
        <f>E6*(前提!$D$103*D_石化!E13+E32)</f>
        <v>0</v>
      </c>
      <c r="F33" s="41">
        <f>F6*(前提!$D$103*D_石化!F13+F32)</f>
        <v>0</v>
      </c>
      <c r="G33" s="41">
        <f>G6*(前提!$D$103*D_石化!G13+G32)</f>
        <v>-159.26368628477906</v>
      </c>
      <c r="H33" s="41">
        <f>H6*(前提!$D$103*D_石化!H13+H32)</f>
        <v>-19.263686284779055</v>
      </c>
      <c r="I33" s="41">
        <f>I6*(前提!$D$103*D_石化!I13+I32)</f>
        <v>130.36815685761047</v>
      </c>
    </row>
    <row r="34" spans="2:9" ht="16.5" x14ac:dyDescent="0.35">
      <c r="B34" s="42" t="s">
        <v>664</v>
      </c>
      <c r="C34" s="21" t="s">
        <v>28</v>
      </c>
      <c r="E34" s="44">
        <f>前提!$D$102*E33*(1-前提!$D$105)</f>
        <v>0</v>
      </c>
      <c r="F34" s="44">
        <f>前提!$D$102*F33*(1-前提!$D$105)</f>
        <v>0</v>
      </c>
      <c r="G34" s="44">
        <f>前提!$D$102*G33*(1-前提!$D$105)</f>
        <v>-55.742290199672667</v>
      </c>
      <c r="H34" s="44">
        <f>前提!$D$102*H33*(1-前提!$D$105)</f>
        <v>-6.7422901996726692</v>
      </c>
      <c r="I34" s="44">
        <f>前提!$D$102*I33*(1-前提!$D$105)</f>
        <v>45.62885490016366</v>
      </c>
    </row>
    <row r="35" spans="2:9" ht="16.5" x14ac:dyDescent="0.35">
      <c r="B35" s="21" t="s">
        <v>665</v>
      </c>
      <c r="C35" s="21" t="s">
        <v>28</v>
      </c>
      <c r="E35" s="51">
        <f>N(D35)+E27+E34</f>
        <v>0</v>
      </c>
      <c r="F35" s="51">
        <f>N(E35)+F27+F34</f>
        <v>0</v>
      </c>
      <c r="G35" s="51">
        <f>N(F35)+G27+G34</f>
        <v>891.80396860229121</v>
      </c>
      <c r="H35" s="51">
        <f>N(G35)+H27+H34</f>
        <v>885.06167840261855</v>
      </c>
      <c r="I35" s="51">
        <f>N(H35)+I27+I34</f>
        <v>930.69053330278223</v>
      </c>
    </row>
    <row r="36" spans="2:9" ht="16.5" x14ac:dyDescent="0.35">
      <c r="B36" s="21" t="s">
        <v>666</v>
      </c>
      <c r="C36" s="21" t="s">
        <v>28</v>
      </c>
      <c r="E36" s="46">
        <f>-E6*前提!$D$109</f>
        <v>0</v>
      </c>
      <c r="F36" s="46">
        <f>-F6*前提!$D$109</f>
        <v>0</v>
      </c>
      <c r="G36" s="46">
        <f>-G6*前提!$D$109</f>
        <v>-280</v>
      </c>
      <c r="H36" s="46">
        <f>-H6*前提!$D$109</f>
        <v>-280</v>
      </c>
      <c r="I36" s="46">
        <f>-I6*前提!$D$109</f>
        <v>-280</v>
      </c>
    </row>
    <row r="37" spans="2:9" ht="16.5" x14ac:dyDescent="0.35">
      <c r="B37" s="21" t="s">
        <v>667</v>
      </c>
      <c r="C37" s="21" t="s">
        <v>28</v>
      </c>
      <c r="E37" s="46">
        <f>(1-E6)*IF(前提!E$6&gt;=前提!$D$111,前提!$D$110,0)</f>
        <v>0</v>
      </c>
      <c r="F37" s="46">
        <f>(1-F6)*IF(前提!F$6&gt;=前提!$D$111,前提!$D$110,0)</f>
        <v>0</v>
      </c>
      <c r="G37" s="46">
        <f>(1-G6)*IF(前提!G$6&gt;=前提!$D$111,前提!$D$110,0)</f>
        <v>0</v>
      </c>
      <c r="H37" s="46">
        <f>(1-H6)*IF(前提!H$6&gt;=前提!$D$111,前提!$D$110,0)</f>
        <v>0</v>
      </c>
      <c r="I37" s="46">
        <f>(1-I6)*IF(前提!I$6&gt;=前提!$D$111,前提!$D$110,0)</f>
        <v>0</v>
      </c>
    </row>
    <row r="38" spans="2:9" ht="17.100000000000001" customHeight="1" x14ac:dyDescent="0.15">
      <c r="B38" s="72" t="s">
        <v>668</v>
      </c>
      <c r="C38" s="73"/>
      <c r="D38" s="73"/>
      <c r="E38" s="73"/>
      <c r="F38" s="73"/>
      <c r="G38" s="73"/>
      <c r="H38" s="73"/>
      <c r="I38" s="73"/>
    </row>
    <row r="39" spans="2:9" ht="17.100000000000001" customHeight="1" x14ac:dyDescent="0.15">
      <c r="B39" s="72" t="s">
        <v>669</v>
      </c>
      <c r="C39" s="73"/>
      <c r="D39" s="73"/>
      <c r="E39" s="73"/>
      <c r="F39" s="73"/>
      <c r="G39" s="73"/>
      <c r="H39" s="73"/>
      <c r="I39" s="73"/>
    </row>
    <row r="40" spans="2:9" ht="17.100000000000001" customHeight="1" x14ac:dyDescent="0.15">
      <c r="B40" s="72" t="s">
        <v>670</v>
      </c>
      <c r="C40" s="73"/>
      <c r="D40" s="73"/>
      <c r="E40" s="73"/>
      <c r="F40" s="73"/>
      <c r="G40" s="73"/>
      <c r="H40" s="73"/>
      <c r="I40" s="73"/>
    </row>
    <row r="41" spans="2:9" ht="17.100000000000001" customHeight="1" x14ac:dyDescent="0.15">
      <c r="B41" s="72" t="s">
        <v>671</v>
      </c>
      <c r="C41" s="73"/>
      <c r="D41" s="73"/>
      <c r="E41" s="73"/>
      <c r="F41" s="73"/>
      <c r="G41" s="73"/>
      <c r="H41" s="73"/>
      <c r="I41" s="73"/>
    </row>
    <row r="42" spans="2:9" ht="36.950000000000003" customHeight="1" x14ac:dyDescent="0.15">
      <c r="B42" s="72" t="s">
        <v>672</v>
      </c>
      <c r="C42" s="73"/>
      <c r="D42" s="73"/>
      <c r="E42" s="73"/>
      <c r="F42" s="73"/>
      <c r="G42" s="73"/>
      <c r="H42" s="73"/>
      <c r="I42" s="73"/>
    </row>
  </sheetData>
  <mergeCells count="5">
    <mergeCell ref="B39:I39"/>
    <mergeCell ref="B38:I38"/>
    <mergeCell ref="B42:I42"/>
    <mergeCell ref="B41:I41"/>
    <mergeCell ref="B40:I40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J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8" width="12" customWidth="1"/>
    <col min="9" max="10" width="10" customWidth="1"/>
  </cols>
  <sheetData>
    <row r="1" spans="2:10" ht="21.95" customHeight="1" x14ac:dyDescent="0.5">
      <c r="B1" s="20" t="s">
        <v>673</v>
      </c>
    </row>
    <row r="2" spans="2:10" ht="16.5" x14ac:dyDescent="0.35">
      <c r="B2" s="21" t="s">
        <v>674</v>
      </c>
    </row>
    <row r="4" spans="2:10" ht="16.5" x14ac:dyDescent="0.15">
      <c r="B4" s="6" t="s">
        <v>7</v>
      </c>
      <c r="C4" s="6" t="s">
        <v>16</v>
      </c>
      <c r="D4" s="6" t="s">
        <v>8</v>
      </c>
      <c r="E4" s="6" t="s">
        <v>9</v>
      </c>
      <c r="F4" s="6" t="s">
        <v>10</v>
      </c>
      <c r="G4" s="6" t="s">
        <v>675</v>
      </c>
      <c r="H4" s="6" t="s">
        <v>676</v>
      </c>
      <c r="I4" s="6" t="s">
        <v>11</v>
      </c>
      <c r="J4" s="6" t="s">
        <v>12</v>
      </c>
    </row>
    <row r="5" spans="2:10" ht="16.5" x14ac:dyDescent="0.35">
      <c r="B5" s="21" t="s">
        <v>339</v>
      </c>
      <c r="C5" s="21" t="s">
        <v>28</v>
      </c>
      <c r="D5" s="46">
        <f>前提!$D$162</f>
        <v>45060</v>
      </c>
      <c r="E5" s="53">
        <f>連結PL!H6</f>
        <v>36452.355573278284</v>
      </c>
      <c r="F5" s="53">
        <f>連結PL!H29</f>
        <v>36452.355573278284</v>
      </c>
      <c r="G5" s="51">
        <f>E5-D5</f>
        <v>-8607.6444267217157</v>
      </c>
      <c r="H5" s="51">
        <f>F5-D5</f>
        <v>-8607.6444267217157</v>
      </c>
      <c r="I5" s="21" t="str">
        <f>IF(E5&gt;=D5,"達成","未達")</f>
        <v>未達</v>
      </c>
      <c r="J5" s="21" t="str">
        <f>IF(F5&gt;=D5,"達成","未達")</f>
        <v>未達</v>
      </c>
    </row>
    <row r="6" spans="2:10" ht="16.5" x14ac:dyDescent="0.35">
      <c r="B6" s="21" t="s">
        <v>341</v>
      </c>
      <c r="C6" s="21" t="s">
        <v>28</v>
      </c>
      <c r="D6" s="46">
        <f>前提!$D$163</f>
        <v>4600</v>
      </c>
      <c r="E6" s="53">
        <f>連結PL!H7</f>
        <v>4101.4400801939537</v>
      </c>
      <c r="F6" s="53">
        <f>連結PL!H30</f>
        <v>4234.8575304895694</v>
      </c>
      <c r="G6" s="51">
        <f>E6-D6</f>
        <v>-498.55991980604631</v>
      </c>
      <c r="H6" s="51">
        <f>F6-D6</f>
        <v>-365.1424695104306</v>
      </c>
      <c r="I6" s="21" t="str">
        <f>IF(E6&gt;=D6,"達成","未達")</f>
        <v>未達</v>
      </c>
      <c r="J6" s="21" t="str">
        <f>IF(F6&gt;=D6,"達成","未達")</f>
        <v>未達</v>
      </c>
    </row>
    <row r="7" spans="2:10" ht="16.5" x14ac:dyDescent="0.35">
      <c r="B7" s="21" t="s">
        <v>342</v>
      </c>
      <c r="C7" s="21" t="s">
        <v>147</v>
      </c>
      <c r="D7" s="41">
        <f>前提!$D$164</f>
        <v>152</v>
      </c>
      <c r="E7" s="44">
        <f>連結PL!H22</f>
        <v>132.74551992622122</v>
      </c>
      <c r="F7" s="44">
        <f>連結PL!H45</f>
        <v>140.03706545447935</v>
      </c>
      <c r="G7" s="45">
        <f>E7-D7</f>
        <v>-19.25448007377878</v>
      </c>
      <c r="H7" s="45">
        <f>F7-D7</f>
        <v>-11.962934545520653</v>
      </c>
      <c r="I7" s="21" t="str">
        <f>IF(E7&gt;=D7,"達成","未達")</f>
        <v>未達</v>
      </c>
      <c r="J7" s="21" t="str">
        <f>IF(F7&gt;=D7,"達成","未達")</f>
        <v>未達</v>
      </c>
    </row>
    <row r="8" spans="2:10" ht="16.5" x14ac:dyDescent="0.35">
      <c r="B8" s="21" t="s">
        <v>343</v>
      </c>
      <c r="C8" s="21" t="s">
        <v>31</v>
      </c>
      <c r="D8" s="38">
        <f>前提!$D$165</f>
        <v>7.0000000000000007E-2</v>
      </c>
      <c r="E8" s="56">
        <f>連結PL!H25</f>
        <v>6.8031349742393193E-2</v>
      </c>
      <c r="F8" s="56">
        <f>連結PL!H48</f>
        <v>6.7379140698731146E-2</v>
      </c>
      <c r="G8" s="59">
        <f>E8-D8</f>
        <v>-1.9686502576068132E-3</v>
      </c>
      <c r="H8" s="59">
        <f>F8-D8</f>
        <v>-2.6208593012688602E-3</v>
      </c>
      <c r="I8" s="21" t="str">
        <f>IF(E8&gt;=D8,"達成","未達")</f>
        <v>未達</v>
      </c>
      <c r="J8" s="21" t="str">
        <f>IF(F8&gt;=D8,"達成","未達")</f>
        <v>未達</v>
      </c>
    </row>
    <row r="9" spans="2:10" ht="16.5" x14ac:dyDescent="0.35">
      <c r="B9" s="26" t="s">
        <v>344</v>
      </c>
      <c r="C9" s="26" t="s">
        <v>22</v>
      </c>
      <c r="D9" s="64">
        <f>前提!$D$166</f>
        <v>0.8</v>
      </c>
      <c r="E9" s="65">
        <f>連結PL!H26</f>
        <v>0.54899901305825838</v>
      </c>
      <c r="F9" s="65">
        <f>連結PL!H49</f>
        <v>0.67249422902187994</v>
      </c>
      <c r="G9" s="66">
        <f>E9-D9</f>
        <v>-0.25100098694174167</v>
      </c>
      <c r="H9" s="66">
        <f>F9-D9</f>
        <v>-0.1275057709781201</v>
      </c>
      <c r="I9" s="26" t="str">
        <f>IF(E9&lt;=D9,"達成","未達")</f>
        <v>達成</v>
      </c>
      <c r="J9" s="26" t="str">
        <f>IF(F9&lt;=D9,"達成","未達")</f>
        <v>達成</v>
      </c>
    </row>
    <row r="10" spans="2:10" ht="16.5" x14ac:dyDescent="0.35">
      <c r="B10" s="42" t="s">
        <v>677</v>
      </c>
      <c r="I10" s="67">
        <f>COUNTIF(I5:I9,"達成")</f>
        <v>1</v>
      </c>
      <c r="J10" s="67">
        <f>COUNTIF(J5:J9,"達成")</f>
        <v>1</v>
      </c>
    </row>
    <row r="12" spans="2:10" ht="20.100000000000001" customHeight="1" x14ac:dyDescent="0.35">
      <c r="B12" s="22" t="s">
        <v>678</v>
      </c>
      <c r="C12" s="4"/>
      <c r="D12" s="4"/>
      <c r="E12" s="4"/>
      <c r="F12" s="4"/>
      <c r="G12" s="4"/>
      <c r="H12" s="4"/>
      <c r="I12" s="4"/>
      <c r="J12" s="4"/>
    </row>
    <row r="13" spans="2:10" ht="16.5" x14ac:dyDescent="0.35">
      <c r="B13" s="21" t="s">
        <v>679</v>
      </c>
      <c r="C13" s="21" t="s">
        <v>28</v>
      </c>
      <c r="E13" s="46">
        <f>-分社化・合併!H6*D_石化!H14</f>
        <v>-5713.4</v>
      </c>
    </row>
    <row r="14" spans="2:10" ht="16.5" x14ac:dyDescent="0.35">
      <c r="B14" s="21" t="s">
        <v>680</v>
      </c>
      <c r="C14" s="21" t="s">
        <v>28</v>
      </c>
      <c r="F14" s="46">
        <f>D_JSR!H47</f>
        <v>0</v>
      </c>
    </row>
    <row r="15" spans="2:10" ht="16.5" x14ac:dyDescent="0.35">
      <c r="B15" s="21" t="s">
        <v>681</v>
      </c>
      <c r="C15" s="21" t="s">
        <v>28</v>
      </c>
      <c r="F15" s="46">
        <f>D_JSR!H14</f>
        <v>5968.8440272032485</v>
      </c>
    </row>
    <row r="16" spans="2:10" ht="16.5" x14ac:dyDescent="0.35">
      <c r="B16" s="21" t="s">
        <v>682</v>
      </c>
      <c r="F16" s="68" t="str">
        <f>D_JSR!D62</f>
        <v>未到達（44.9%で据え置き）</v>
      </c>
    </row>
    <row r="17" spans="2:10" ht="16.5" x14ac:dyDescent="0.35">
      <c r="B17" s="21" t="s">
        <v>683</v>
      </c>
      <c r="C17" s="21" t="s">
        <v>18</v>
      </c>
      <c r="E17" s="52">
        <f>前提!$D$25</f>
        <v>2028</v>
      </c>
    </row>
    <row r="18" spans="2:10" ht="33.950000000000003" customHeight="1" x14ac:dyDescent="0.15">
      <c r="B18" s="74" t="str">
        <f>IF(SUM(D_JSR!$E$26:$I$26)=0,"・JSR は2030年度までに全額取得に至らず連結されない（2029年度の持分"&amp;TEXT(D_JSR!H28,"0.0%")&amp;"、持分法利益"&amp;TEXT(D_JSR!H44,"#,##0")&amp;"億円）","・JSR を連結した年度の JSR 売上は"&amp;TEXT(SUMPRODUCT(D_JSR!$E$26:$I$26,D_JSR!$E$14:$I$14),"#,##0")&amp;"億円")</f>
        <v>・JSR は2030年度までに全額取得に至らず連結されない（2029年度の持分22.9%、持分法利益133億円）</v>
      </c>
      <c r="C18" s="73"/>
      <c r="D18" s="73"/>
      <c r="E18" s="73"/>
      <c r="F18" s="73"/>
      <c r="G18" s="73"/>
      <c r="H18" s="73"/>
      <c r="I18" s="73"/>
      <c r="J18" s="73"/>
    </row>
    <row r="19" spans="2:10" ht="17.100000000000001" customHeight="1" x14ac:dyDescent="0.15">
      <c r="B19" s="72" t="s">
        <v>684</v>
      </c>
      <c r="C19" s="73"/>
      <c r="D19" s="73"/>
      <c r="E19" s="73"/>
      <c r="F19" s="73"/>
      <c r="G19" s="73"/>
      <c r="H19" s="73"/>
      <c r="I19" s="73"/>
      <c r="J19" s="73"/>
    </row>
    <row r="20" spans="2:10" ht="17.100000000000001" customHeight="1" x14ac:dyDescent="0.15">
      <c r="B20" s="72" t="s">
        <v>685</v>
      </c>
      <c r="C20" s="73"/>
      <c r="D20" s="73"/>
      <c r="E20" s="73"/>
      <c r="F20" s="73"/>
      <c r="G20" s="73"/>
      <c r="H20" s="73"/>
      <c r="I20" s="73"/>
      <c r="J20" s="73"/>
    </row>
    <row r="21" spans="2:10" ht="36.950000000000003" customHeight="1" x14ac:dyDescent="0.15">
      <c r="B21" s="72" t="s">
        <v>686</v>
      </c>
      <c r="C21" s="73"/>
      <c r="D21" s="73"/>
      <c r="E21" s="73"/>
      <c r="F21" s="73"/>
      <c r="G21" s="73"/>
      <c r="H21" s="73"/>
      <c r="I21" s="73"/>
      <c r="J21" s="73"/>
    </row>
  </sheetData>
  <mergeCells count="4">
    <mergeCell ref="B21:J21"/>
    <mergeCell ref="B18:J18"/>
    <mergeCell ref="B19:J19"/>
    <mergeCell ref="B20:J20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J1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2" customWidth="1"/>
    <col min="2" max="2" width="40" customWidth="1"/>
    <col min="3" max="3" width="9" customWidth="1"/>
    <col min="4" max="9" width="11" customWidth="1"/>
    <col min="10" max="10" width="44" customWidth="1"/>
  </cols>
  <sheetData>
    <row r="1" spans="2:10" ht="21.95" customHeight="1" x14ac:dyDescent="0.5">
      <c r="B1" s="20" t="s">
        <v>687</v>
      </c>
    </row>
    <row r="2" spans="2:10" ht="16.5" x14ac:dyDescent="0.35">
      <c r="B2" s="21" t="s">
        <v>688</v>
      </c>
    </row>
    <row r="4" spans="2:10" ht="16.5" x14ac:dyDescent="0.15">
      <c r="B4" s="6" t="s">
        <v>54</v>
      </c>
      <c r="C4" s="6" t="s">
        <v>16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347</v>
      </c>
    </row>
    <row r="5" spans="2:10" ht="16.5" x14ac:dyDescent="0.35">
      <c r="B5" s="21" t="s">
        <v>689</v>
      </c>
      <c r="C5" s="21" t="s">
        <v>28</v>
      </c>
      <c r="E5" s="46">
        <f>連結PL!E6</f>
        <v>38000</v>
      </c>
      <c r="F5" s="46">
        <f>連結PL!F6</f>
        <v>39302.381999999998</v>
      </c>
      <c r="G5" s="46">
        <f>連結PL!G6</f>
        <v>34705.647268936002</v>
      </c>
      <c r="H5" s="46">
        <f>連結PL!H6</f>
        <v>36452.355573278284</v>
      </c>
      <c r="I5" s="46">
        <f>連結PL!I6</f>
        <v>37741.065340554866</v>
      </c>
    </row>
    <row r="6" spans="2:10" ht="16.5" x14ac:dyDescent="0.35">
      <c r="B6" s="21" t="s">
        <v>690</v>
      </c>
      <c r="C6" s="21" t="s">
        <v>28</v>
      </c>
      <c r="E6" s="46">
        <f>-セグメント!E30</f>
        <v>-13720</v>
      </c>
      <c r="F6" s="46">
        <f>-セグメント!F30</f>
        <v>-14268.800000000001</v>
      </c>
      <c r="G6" s="46">
        <f>-セグメント!G30</f>
        <v>-14839.552000000001</v>
      </c>
      <c r="H6" s="46">
        <f>-セグメント!H30</f>
        <v>-15433.134080000002</v>
      </c>
      <c r="I6" s="46">
        <f>-セグメント!I30</f>
        <v>-16050.459443200003</v>
      </c>
    </row>
    <row r="7" spans="2:10" ht="16.5" x14ac:dyDescent="0.35">
      <c r="B7" s="42" t="s">
        <v>691</v>
      </c>
      <c r="C7" s="21" t="s">
        <v>28</v>
      </c>
      <c r="E7" s="58">
        <f>E5+E6</f>
        <v>24280</v>
      </c>
      <c r="F7" s="58">
        <f>F5+F6</f>
        <v>25033.581999999995</v>
      </c>
      <c r="G7" s="58">
        <f>G5+G6</f>
        <v>19866.095268935998</v>
      </c>
      <c r="H7" s="58">
        <f>H5+H6</f>
        <v>21019.221493278281</v>
      </c>
      <c r="I7" s="58">
        <f>I5+I6</f>
        <v>21690.605897354864</v>
      </c>
    </row>
    <row r="8" spans="2:10" ht="16.5" x14ac:dyDescent="0.35">
      <c r="B8" s="21" t="s">
        <v>692</v>
      </c>
      <c r="C8" s="21" t="s">
        <v>28</v>
      </c>
      <c r="E8" s="46">
        <f>連結PL!E7</f>
        <v>3050</v>
      </c>
      <c r="F8" s="46">
        <f>連結PL!F7</f>
        <v>3285.1785235242774</v>
      </c>
      <c r="G8" s="46">
        <f>連結PL!G7</f>
        <v>3702.7945659148609</v>
      </c>
      <c r="H8" s="46">
        <f>連結PL!H7</f>
        <v>4101.4400801939537</v>
      </c>
      <c r="I8" s="46">
        <f>連結PL!I7</f>
        <v>4359.5564776942329</v>
      </c>
    </row>
    <row r="9" spans="2:10" ht="16.5" x14ac:dyDescent="0.35">
      <c r="B9" s="21" t="s">
        <v>693</v>
      </c>
      <c r="C9" s="21" t="s">
        <v>28</v>
      </c>
      <c r="E9" s="46">
        <f>-セグメント!E31</f>
        <v>-2050</v>
      </c>
      <c r="F9" s="46">
        <f>-セグメント!F31</f>
        <v>-2150</v>
      </c>
      <c r="G9" s="46">
        <f>-セグメント!G31</f>
        <v>-2260</v>
      </c>
      <c r="H9" s="46">
        <f>-セグメント!H31</f>
        <v>-2370</v>
      </c>
      <c r="I9" s="46">
        <f>-セグメント!I31</f>
        <v>-2480</v>
      </c>
    </row>
    <row r="10" spans="2:10" ht="16.5" x14ac:dyDescent="0.35">
      <c r="B10" s="42" t="s">
        <v>694</v>
      </c>
      <c r="C10" s="21" t="s">
        <v>28</v>
      </c>
      <c r="E10" s="58">
        <f>E8+E9</f>
        <v>1000</v>
      </c>
      <c r="F10" s="58">
        <f>F8+F9</f>
        <v>1135.1785235242774</v>
      </c>
      <c r="G10" s="58">
        <f>G8+G9</f>
        <v>1442.7945659148609</v>
      </c>
      <c r="H10" s="58">
        <f>H8+H9</f>
        <v>1731.4400801939537</v>
      </c>
      <c r="I10" s="58">
        <f>I8+I9</f>
        <v>1879.5564776942329</v>
      </c>
    </row>
    <row r="11" spans="2:10" ht="16.5" x14ac:dyDescent="0.35">
      <c r="B11" s="21" t="s">
        <v>695</v>
      </c>
      <c r="C11" s="21" t="s">
        <v>31</v>
      </c>
      <c r="E11" s="59">
        <f>E10/E7</f>
        <v>4.118616144975288E-2</v>
      </c>
      <c r="F11" s="59">
        <f>F10/F7</f>
        <v>4.5346228259474715E-2</v>
      </c>
      <c r="G11" s="59">
        <f>G10/G7</f>
        <v>7.2625976387564919E-2</v>
      </c>
      <c r="H11" s="59">
        <f>H10/H7</f>
        <v>8.2374129829101875E-2</v>
      </c>
      <c r="I11" s="59">
        <f>I10/I7</f>
        <v>8.6653018665718409E-2</v>
      </c>
    </row>
    <row r="12" spans="2:10" ht="16.5" x14ac:dyDescent="0.35">
      <c r="B12" s="21" t="s">
        <v>546</v>
      </c>
      <c r="C12" s="21" t="s">
        <v>28</v>
      </c>
      <c r="E12" s="46">
        <f>連結PL!E19</f>
        <v>1310</v>
      </c>
      <c r="F12" s="46">
        <f>連結PL!F19</f>
        <v>1373.9024390243903</v>
      </c>
      <c r="G12" s="46">
        <f>連結PL!G19</f>
        <v>1444.1951219512196</v>
      </c>
      <c r="H12" s="46">
        <f>連結PL!H19</f>
        <v>1514.4878048780488</v>
      </c>
      <c r="I12" s="46">
        <f>連結PL!I19</f>
        <v>1584.780487804878</v>
      </c>
    </row>
    <row r="13" spans="2:10" ht="16.5" x14ac:dyDescent="0.35">
      <c r="B13" s="42" t="s">
        <v>696</v>
      </c>
      <c r="C13" s="21" t="s">
        <v>28</v>
      </c>
      <c r="E13" s="53">
        <f>前提!$D$116*E12</f>
        <v>662.72900000000004</v>
      </c>
      <c r="F13" s="53">
        <f>前提!$D$116*F12</f>
        <v>695.05724390243904</v>
      </c>
      <c r="G13" s="53">
        <f>前提!$D$116*G12</f>
        <v>730.61831219512203</v>
      </c>
      <c r="H13" s="53">
        <f>前提!$D$116*H12</f>
        <v>766.17938048780491</v>
      </c>
      <c r="I13" s="53">
        <f>前提!$D$116*I12</f>
        <v>801.74044878048778</v>
      </c>
    </row>
    <row r="14" spans="2:10" ht="16.5" x14ac:dyDescent="0.35">
      <c r="B14" s="26" t="s">
        <v>697</v>
      </c>
      <c r="C14" s="26" t="s">
        <v>28</v>
      </c>
      <c r="D14" s="27"/>
      <c r="E14" s="69">
        <f>E10+E13</f>
        <v>1662.729</v>
      </c>
      <c r="F14" s="69">
        <f>F10+F13</f>
        <v>1830.2357674267164</v>
      </c>
      <c r="G14" s="69">
        <f>G10+G13</f>
        <v>2173.412878109983</v>
      </c>
      <c r="H14" s="69">
        <f>H10+H13</f>
        <v>2497.6194606817585</v>
      </c>
      <c r="I14" s="69">
        <f>I10+I13</f>
        <v>2681.2969264747207</v>
      </c>
      <c r="J14" s="27"/>
    </row>
  </sheetData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G37"/>
  <sheetViews>
    <sheetView workbookViewId="0"/>
  </sheetViews>
  <sheetFormatPr defaultRowHeight="13.5" x14ac:dyDescent="0.15"/>
  <cols>
    <col min="1" max="1" width="2" customWidth="1"/>
    <col min="2" max="2" width="14" customWidth="1"/>
    <col min="3" max="3" width="70" customWidth="1"/>
    <col min="4" max="4" width="26" customWidth="1"/>
    <col min="5" max="5" width="14" customWidth="1"/>
    <col min="6" max="6" width="60" customWidth="1"/>
    <col min="7" max="7" width="8" customWidth="1"/>
    <col min="8" max="9" width="11" customWidth="1"/>
    <col min="10" max="10" width="44" customWidth="1"/>
  </cols>
  <sheetData>
    <row r="1" spans="2:7" ht="21.95" customHeight="1" x14ac:dyDescent="0.5">
      <c r="B1" s="20" t="s">
        <v>698</v>
      </c>
    </row>
    <row r="2" spans="2:7" ht="16.5" x14ac:dyDescent="0.35">
      <c r="B2" s="21" t="s">
        <v>699</v>
      </c>
    </row>
    <row r="4" spans="2:7" ht="16.5" x14ac:dyDescent="0.15">
      <c r="B4" s="6" t="s">
        <v>61</v>
      </c>
      <c r="C4" s="6" t="s">
        <v>700</v>
      </c>
      <c r="D4" s="6" t="s">
        <v>701</v>
      </c>
      <c r="E4" s="6" t="s">
        <v>702</v>
      </c>
      <c r="F4" s="6" t="s">
        <v>703</v>
      </c>
      <c r="G4" s="6" t="s">
        <v>62</v>
      </c>
    </row>
    <row r="5" spans="2:7" ht="36.950000000000003" customHeight="1" x14ac:dyDescent="0.35">
      <c r="B5" s="21" t="s">
        <v>136</v>
      </c>
      <c r="C5" s="5" t="s">
        <v>704</v>
      </c>
      <c r="D5" s="5" t="s">
        <v>705</v>
      </c>
      <c r="E5" s="21" t="s">
        <v>706</v>
      </c>
      <c r="F5" s="5" t="s">
        <v>707</v>
      </c>
      <c r="G5" s="21" t="s">
        <v>137</v>
      </c>
    </row>
    <row r="6" spans="2:7" ht="36.950000000000003" customHeight="1" x14ac:dyDescent="0.35">
      <c r="B6" s="21" t="s">
        <v>158</v>
      </c>
      <c r="C6" s="5" t="s">
        <v>708</v>
      </c>
      <c r="D6" s="5" t="s">
        <v>705</v>
      </c>
      <c r="E6" s="21" t="s">
        <v>709</v>
      </c>
      <c r="F6" s="5" t="s">
        <v>710</v>
      </c>
      <c r="G6" s="21" t="s">
        <v>137</v>
      </c>
    </row>
    <row r="7" spans="2:7" ht="17.100000000000001" customHeight="1" x14ac:dyDescent="0.35">
      <c r="B7" s="21" t="s">
        <v>711</v>
      </c>
      <c r="C7" s="5" t="s">
        <v>712</v>
      </c>
      <c r="D7" s="5" t="s">
        <v>705</v>
      </c>
      <c r="E7" s="21" t="s">
        <v>713</v>
      </c>
      <c r="F7" s="5" t="s">
        <v>714</v>
      </c>
      <c r="G7" s="21" t="s">
        <v>137</v>
      </c>
    </row>
    <row r="8" spans="2:7" ht="36.950000000000003" customHeight="1" x14ac:dyDescent="0.35">
      <c r="B8" s="21" t="s">
        <v>282</v>
      </c>
      <c r="C8" s="5" t="s">
        <v>715</v>
      </c>
      <c r="D8" s="5" t="s">
        <v>705</v>
      </c>
      <c r="E8" s="21" t="s">
        <v>716</v>
      </c>
      <c r="F8" s="5" t="s">
        <v>717</v>
      </c>
      <c r="G8" s="21" t="s">
        <v>137</v>
      </c>
    </row>
    <row r="9" spans="2:7" ht="36.950000000000003" customHeight="1" x14ac:dyDescent="0.35">
      <c r="B9" s="21" t="s">
        <v>718</v>
      </c>
      <c r="C9" s="5" t="s">
        <v>719</v>
      </c>
      <c r="D9" s="5" t="s">
        <v>705</v>
      </c>
      <c r="E9" s="21" t="s">
        <v>720</v>
      </c>
      <c r="F9" s="5" t="s">
        <v>721</v>
      </c>
      <c r="G9" s="21" t="s">
        <v>137</v>
      </c>
    </row>
    <row r="10" spans="2:7" ht="71.099999999999994" customHeight="1" x14ac:dyDescent="0.35">
      <c r="B10" s="21" t="s">
        <v>722</v>
      </c>
      <c r="C10" s="5" t="s">
        <v>723</v>
      </c>
      <c r="D10" s="5" t="s">
        <v>705</v>
      </c>
      <c r="E10" s="21" t="s">
        <v>724</v>
      </c>
      <c r="F10" s="5" t="s">
        <v>725</v>
      </c>
      <c r="G10" s="21" t="s">
        <v>137</v>
      </c>
    </row>
    <row r="11" spans="2:7" ht="17.100000000000001" customHeight="1" x14ac:dyDescent="0.35">
      <c r="B11" s="21" t="s">
        <v>726</v>
      </c>
      <c r="C11" s="5" t="s">
        <v>727</v>
      </c>
      <c r="D11" s="5" t="s">
        <v>705</v>
      </c>
      <c r="E11" s="21" t="s">
        <v>728</v>
      </c>
      <c r="F11" s="5" t="s">
        <v>729</v>
      </c>
      <c r="G11" s="21" t="s">
        <v>137</v>
      </c>
    </row>
    <row r="12" spans="2:7" ht="17.100000000000001" customHeight="1" x14ac:dyDescent="0.35">
      <c r="B12" s="21" t="s">
        <v>730</v>
      </c>
      <c r="C12" s="5" t="s">
        <v>731</v>
      </c>
      <c r="D12" s="5" t="s">
        <v>705</v>
      </c>
      <c r="E12" s="21" t="s">
        <v>706</v>
      </c>
      <c r="F12" s="5" t="s">
        <v>732</v>
      </c>
      <c r="G12" s="21" t="s">
        <v>137</v>
      </c>
    </row>
    <row r="13" spans="2:7" ht="17.100000000000001" customHeight="1" x14ac:dyDescent="0.35">
      <c r="B13" s="21" t="s">
        <v>733</v>
      </c>
      <c r="C13" s="5" t="s">
        <v>734</v>
      </c>
      <c r="D13" s="5" t="s">
        <v>705</v>
      </c>
      <c r="E13" s="21" t="s">
        <v>735</v>
      </c>
      <c r="F13" s="5" t="s">
        <v>736</v>
      </c>
      <c r="G13" s="21" t="s">
        <v>137</v>
      </c>
    </row>
    <row r="14" spans="2:7" ht="17.100000000000001" customHeight="1" x14ac:dyDescent="0.35">
      <c r="B14" s="21" t="s">
        <v>737</v>
      </c>
      <c r="C14" s="5" t="s">
        <v>738</v>
      </c>
      <c r="D14" s="5" t="s">
        <v>705</v>
      </c>
      <c r="E14" s="21" t="s">
        <v>713</v>
      </c>
      <c r="F14" s="5" t="s">
        <v>739</v>
      </c>
      <c r="G14" s="21" t="s">
        <v>137</v>
      </c>
    </row>
    <row r="15" spans="2:7" ht="17.100000000000001" customHeight="1" x14ac:dyDescent="0.35">
      <c r="B15" s="21" t="s">
        <v>740</v>
      </c>
      <c r="C15" s="5" t="s">
        <v>741</v>
      </c>
      <c r="D15" s="5" t="s">
        <v>705</v>
      </c>
      <c r="E15" s="21" t="s">
        <v>742</v>
      </c>
      <c r="F15" s="5" t="s">
        <v>743</v>
      </c>
      <c r="G15" s="21" t="s">
        <v>137</v>
      </c>
    </row>
    <row r="16" spans="2:7" ht="36.950000000000003" customHeight="1" x14ac:dyDescent="0.35">
      <c r="B16" s="21" t="s">
        <v>744</v>
      </c>
      <c r="C16" s="5" t="s">
        <v>745</v>
      </c>
      <c r="D16" s="5" t="s">
        <v>705</v>
      </c>
      <c r="E16" s="21" t="s">
        <v>709</v>
      </c>
      <c r="F16" s="5" t="s">
        <v>746</v>
      </c>
      <c r="G16" s="21" t="s">
        <v>137</v>
      </c>
    </row>
    <row r="17" spans="2:7" ht="36.950000000000003" customHeight="1" x14ac:dyDescent="0.35">
      <c r="B17" s="21" t="s">
        <v>747</v>
      </c>
      <c r="C17" s="5" t="s">
        <v>748</v>
      </c>
      <c r="D17" s="5" t="s">
        <v>705</v>
      </c>
      <c r="E17" s="21" t="s">
        <v>706</v>
      </c>
      <c r="F17" s="5" t="s">
        <v>749</v>
      </c>
      <c r="G17" s="21" t="s">
        <v>137</v>
      </c>
    </row>
    <row r="18" spans="2:7" ht="36.950000000000003" customHeight="1" x14ac:dyDescent="0.35">
      <c r="B18" s="21" t="s">
        <v>750</v>
      </c>
      <c r="C18" s="5" t="s">
        <v>751</v>
      </c>
      <c r="D18" s="5" t="s">
        <v>752</v>
      </c>
      <c r="E18" s="21" t="s">
        <v>753</v>
      </c>
      <c r="F18" s="5" t="s">
        <v>754</v>
      </c>
      <c r="G18" s="21" t="s">
        <v>137</v>
      </c>
    </row>
    <row r="19" spans="2:7" ht="17.100000000000001" customHeight="1" x14ac:dyDescent="0.35">
      <c r="B19" s="21" t="s">
        <v>755</v>
      </c>
      <c r="C19" s="5" t="s">
        <v>756</v>
      </c>
      <c r="D19" s="5" t="s">
        <v>757</v>
      </c>
      <c r="E19" s="21" t="s">
        <v>758</v>
      </c>
      <c r="F19" s="5" t="s">
        <v>759</v>
      </c>
      <c r="G19" s="21" t="s">
        <v>137</v>
      </c>
    </row>
    <row r="20" spans="2:7" ht="36.950000000000003" customHeight="1" x14ac:dyDescent="0.35">
      <c r="B20" s="21" t="s">
        <v>760</v>
      </c>
      <c r="C20" s="5" t="s">
        <v>761</v>
      </c>
      <c r="D20" s="5" t="s">
        <v>762</v>
      </c>
      <c r="E20" s="21" t="s">
        <v>763</v>
      </c>
      <c r="F20" s="5" t="s">
        <v>764</v>
      </c>
      <c r="G20" s="21" t="s">
        <v>137</v>
      </c>
    </row>
    <row r="21" spans="2:7" ht="17.100000000000001" customHeight="1" x14ac:dyDescent="0.35">
      <c r="B21" s="21" t="s">
        <v>267</v>
      </c>
      <c r="C21" s="5" t="s">
        <v>765</v>
      </c>
      <c r="D21" s="5" t="s">
        <v>762</v>
      </c>
      <c r="E21" s="21" t="s">
        <v>766</v>
      </c>
      <c r="F21" s="5" t="s">
        <v>767</v>
      </c>
      <c r="G21" s="21" t="s">
        <v>137</v>
      </c>
    </row>
    <row r="22" spans="2:7" ht="17.100000000000001" customHeight="1" x14ac:dyDescent="0.35">
      <c r="B22" s="21" t="s">
        <v>768</v>
      </c>
      <c r="C22" s="5" t="s">
        <v>769</v>
      </c>
      <c r="D22" s="5" t="s">
        <v>762</v>
      </c>
      <c r="E22" s="21" t="s">
        <v>770</v>
      </c>
      <c r="F22" s="5" t="s">
        <v>771</v>
      </c>
      <c r="G22" s="21" t="s">
        <v>137</v>
      </c>
    </row>
    <row r="23" spans="2:7" ht="17.100000000000001" customHeight="1" x14ac:dyDescent="0.35">
      <c r="B23" s="21" t="s">
        <v>772</v>
      </c>
      <c r="C23" s="5" t="s">
        <v>773</v>
      </c>
      <c r="D23" s="5" t="s">
        <v>774</v>
      </c>
      <c r="E23" s="21" t="s">
        <v>775</v>
      </c>
      <c r="F23" s="5" t="s">
        <v>776</v>
      </c>
      <c r="G23" s="21" t="s">
        <v>137</v>
      </c>
    </row>
    <row r="24" spans="2:7" ht="36.950000000000003" customHeight="1" x14ac:dyDescent="0.35">
      <c r="B24" s="21" t="s">
        <v>349</v>
      </c>
      <c r="C24" s="5" t="s">
        <v>777</v>
      </c>
      <c r="D24" s="5" t="s">
        <v>778</v>
      </c>
      <c r="E24" s="21" t="s">
        <v>779</v>
      </c>
      <c r="F24" s="5" t="s">
        <v>780</v>
      </c>
      <c r="G24" s="21" t="s">
        <v>781</v>
      </c>
    </row>
    <row r="25" spans="2:7" ht="36.950000000000003" customHeight="1" x14ac:dyDescent="0.35">
      <c r="B25" s="21" t="s">
        <v>782</v>
      </c>
      <c r="C25" s="5" t="s">
        <v>783</v>
      </c>
      <c r="D25" s="5" t="s">
        <v>784</v>
      </c>
      <c r="E25" s="21" t="s">
        <v>785</v>
      </c>
      <c r="F25" s="5" t="s">
        <v>786</v>
      </c>
      <c r="G25" s="21" t="s">
        <v>781</v>
      </c>
    </row>
    <row r="26" spans="2:7" ht="54" customHeight="1" x14ac:dyDescent="0.35">
      <c r="B26" s="21" t="s">
        <v>297</v>
      </c>
      <c r="C26" s="5" t="s">
        <v>787</v>
      </c>
      <c r="D26" s="5" t="s">
        <v>788</v>
      </c>
      <c r="E26" s="21" t="s">
        <v>789</v>
      </c>
      <c r="F26" s="5" t="s">
        <v>790</v>
      </c>
      <c r="G26" s="21" t="s">
        <v>137</v>
      </c>
    </row>
    <row r="27" spans="2:7" ht="17.100000000000001" customHeight="1" x14ac:dyDescent="0.35">
      <c r="B27" s="21" t="s">
        <v>791</v>
      </c>
      <c r="C27" s="5" t="s">
        <v>792</v>
      </c>
      <c r="D27" s="5" t="s">
        <v>793</v>
      </c>
      <c r="E27" s="21" t="s">
        <v>794</v>
      </c>
      <c r="F27" s="5" t="s">
        <v>795</v>
      </c>
      <c r="G27" s="21" t="s">
        <v>781</v>
      </c>
    </row>
    <row r="28" spans="2:7" ht="17.100000000000001" customHeight="1" x14ac:dyDescent="0.35">
      <c r="B28" s="21" t="s">
        <v>796</v>
      </c>
      <c r="C28" s="5" t="s">
        <v>797</v>
      </c>
      <c r="D28" s="5" t="s">
        <v>798</v>
      </c>
      <c r="E28" s="21" t="s">
        <v>799</v>
      </c>
      <c r="F28" s="5" t="s">
        <v>800</v>
      </c>
      <c r="G28" s="21" t="s">
        <v>781</v>
      </c>
    </row>
    <row r="29" spans="2:7" ht="36.950000000000003" customHeight="1" x14ac:dyDescent="0.35">
      <c r="B29" s="21" t="s">
        <v>801</v>
      </c>
      <c r="C29" s="5" t="s">
        <v>802</v>
      </c>
      <c r="D29" s="5" t="s">
        <v>803</v>
      </c>
      <c r="E29" s="21" t="s">
        <v>804</v>
      </c>
      <c r="F29" s="5" t="s">
        <v>805</v>
      </c>
      <c r="G29" s="21" t="s">
        <v>137</v>
      </c>
    </row>
    <row r="30" spans="2:7" ht="17.100000000000001" customHeight="1" x14ac:dyDescent="0.35">
      <c r="B30" s="21" t="s">
        <v>806</v>
      </c>
      <c r="C30" s="5" t="s">
        <v>807</v>
      </c>
      <c r="D30" s="5" t="s">
        <v>803</v>
      </c>
      <c r="E30" s="21" t="s">
        <v>804</v>
      </c>
      <c r="F30" s="5" t="s">
        <v>808</v>
      </c>
      <c r="G30" s="21" t="s">
        <v>137</v>
      </c>
    </row>
    <row r="31" spans="2:7" ht="17.100000000000001" customHeight="1" x14ac:dyDescent="0.35">
      <c r="B31" s="21" t="s">
        <v>212</v>
      </c>
      <c r="C31" s="5" t="s">
        <v>809</v>
      </c>
      <c r="D31" s="5" t="s">
        <v>803</v>
      </c>
      <c r="E31" s="21" t="s">
        <v>804</v>
      </c>
      <c r="F31" s="5" t="s">
        <v>810</v>
      </c>
      <c r="G31" s="21" t="s">
        <v>137</v>
      </c>
    </row>
    <row r="32" spans="2:7" ht="17.100000000000001" customHeight="1" x14ac:dyDescent="0.35">
      <c r="B32" s="21" t="s">
        <v>811</v>
      </c>
      <c r="C32" s="5" t="s">
        <v>812</v>
      </c>
      <c r="D32" s="5" t="s">
        <v>803</v>
      </c>
      <c r="E32" s="21" t="s">
        <v>804</v>
      </c>
      <c r="F32" s="5" t="s">
        <v>813</v>
      </c>
      <c r="G32" s="21" t="s">
        <v>137</v>
      </c>
    </row>
    <row r="33" spans="2:7" ht="17.100000000000001" customHeight="1" x14ac:dyDescent="0.35">
      <c r="B33" s="21" t="s">
        <v>814</v>
      </c>
      <c r="C33" s="5" t="s">
        <v>815</v>
      </c>
      <c r="D33" s="5" t="s">
        <v>803</v>
      </c>
      <c r="E33" s="21" t="s">
        <v>816</v>
      </c>
      <c r="F33" s="5" t="s">
        <v>817</v>
      </c>
      <c r="G33" s="21" t="s">
        <v>137</v>
      </c>
    </row>
    <row r="34" spans="2:7" ht="17.100000000000001" customHeight="1" x14ac:dyDescent="0.35">
      <c r="B34" s="21" t="s">
        <v>818</v>
      </c>
      <c r="C34" s="5" t="s">
        <v>819</v>
      </c>
      <c r="D34" s="5" t="s">
        <v>803</v>
      </c>
      <c r="E34" s="21" t="s">
        <v>820</v>
      </c>
      <c r="F34" s="5" t="s">
        <v>821</v>
      </c>
      <c r="G34" s="21" t="s">
        <v>137</v>
      </c>
    </row>
    <row r="35" spans="2:7" ht="36.950000000000003" customHeight="1" x14ac:dyDescent="0.35">
      <c r="B35" s="21" t="s">
        <v>4</v>
      </c>
      <c r="C35" s="5" t="s">
        <v>822</v>
      </c>
      <c r="D35" s="5" t="s">
        <v>823</v>
      </c>
      <c r="E35" s="21" t="s">
        <v>804</v>
      </c>
      <c r="F35" s="5" t="s">
        <v>824</v>
      </c>
      <c r="G35" s="21" t="s">
        <v>137</v>
      </c>
    </row>
    <row r="36" spans="2:7" ht="36.950000000000003" customHeight="1" x14ac:dyDescent="0.35">
      <c r="B36" s="26" t="s">
        <v>47</v>
      </c>
      <c r="C36" s="29" t="s">
        <v>825</v>
      </c>
      <c r="D36" s="29" t="s">
        <v>823</v>
      </c>
      <c r="E36" s="26" t="s">
        <v>804</v>
      </c>
      <c r="F36" s="29" t="s">
        <v>826</v>
      </c>
      <c r="G36" s="26" t="s">
        <v>137</v>
      </c>
    </row>
    <row r="37" spans="2:7" ht="36.950000000000003" customHeight="1" x14ac:dyDescent="0.15">
      <c r="B37" s="72" t="s">
        <v>827</v>
      </c>
      <c r="C37" s="73"/>
      <c r="D37" s="73"/>
      <c r="E37" s="73"/>
      <c r="F37" s="73"/>
      <c r="G37" s="73"/>
    </row>
  </sheetData>
  <mergeCells count="1">
    <mergeCell ref="B37:G37"/>
  </mergeCells>
  <phoneticPr fontId="8"/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G41"/>
  <sheetViews>
    <sheetView workbookViewId="0"/>
  </sheetViews>
  <sheetFormatPr defaultRowHeight="13.5" x14ac:dyDescent="0.15"/>
  <cols>
    <col min="1" max="1" width="2" customWidth="1"/>
    <col min="2" max="2" width="56" customWidth="1"/>
    <col min="3" max="5" width="14" customWidth="1"/>
    <col min="6" max="6" width="10" customWidth="1"/>
    <col min="7" max="7" width="50" customWidth="1"/>
    <col min="8" max="9" width="11" customWidth="1"/>
    <col min="10" max="10" width="44" customWidth="1"/>
  </cols>
  <sheetData>
    <row r="1" spans="2:7" ht="21.95" customHeight="1" x14ac:dyDescent="0.5">
      <c r="B1" s="20" t="s">
        <v>828</v>
      </c>
    </row>
    <row r="2" spans="2:7" ht="16.5" x14ac:dyDescent="0.35">
      <c r="B2" s="21" t="s">
        <v>829</v>
      </c>
    </row>
    <row r="4" spans="2:7" ht="16.5" x14ac:dyDescent="0.15">
      <c r="B4" s="6" t="s">
        <v>830</v>
      </c>
      <c r="C4" s="6" t="s">
        <v>15</v>
      </c>
      <c r="D4" s="6" t="s">
        <v>831</v>
      </c>
      <c r="E4" s="6" t="s">
        <v>832</v>
      </c>
      <c r="F4" s="6" t="s">
        <v>833</v>
      </c>
      <c r="G4" s="6" t="s">
        <v>834</v>
      </c>
    </row>
    <row r="5" spans="2:7" ht="33" x14ac:dyDescent="0.35">
      <c r="B5" s="5" t="s">
        <v>835</v>
      </c>
      <c r="C5" s="63">
        <f>MAX(ABS(MIN(連結BS!$D$22:$I$22)),ABS(MAX(連結BS!$D$22:$I$22)))</f>
        <v>0</v>
      </c>
      <c r="D5" s="63">
        <f>0</f>
        <v>0</v>
      </c>
      <c r="E5" s="63">
        <f t="shared" ref="E5:E36" si="0">C5-D5</f>
        <v>0</v>
      </c>
      <c r="F5" s="21" t="str">
        <f t="shared" ref="F5:F13" si="1">IF(ABS(E5)&lt;=0.01,"PASS","FAIL")</f>
        <v>PASS</v>
      </c>
      <c r="G5" s="5" t="s">
        <v>836</v>
      </c>
    </row>
    <row r="6" spans="2:7" ht="33" x14ac:dyDescent="0.35">
      <c r="B6" s="5" t="s">
        <v>837</v>
      </c>
      <c r="C6" s="63">
        <f>ABS(連結CF!D25-連結BS!D16)+ABS(連結CF!E25-連結BS!E16)+ABS(連結CF!F25-連結BS!F16)+ABS(連結CF!G25-連結BS!G16)+ABS(連結CF!H25-連結BS!H16)+ABS(連結CF!I25-連結BS!I16)</f>
        <v>2.5465851649641991E-11</v>
      </c>
      <c r="D6" s="63">
        <f>0</f>
        <v>0</v>
      </c>
      <c r="E6" s="63">
        <f t="shared" si="0"/>
        <v>2.5465851649641991E-11</v>
      </c>
      <c r="F6" s="21" t="str">
        <f t="shared" si="1"/>
        <v>PASS</v>
      </c>
      <c r="G6" s="5" t="s">
        <v>838</v>
      </c>
    </row>
    <row r="7" spans="2:7" ht="16.5" x14ac:dyDescent="0.35">
      <c r="B7" s="5" t="s">
        <v>839</v>
      </c>
      <c r="C7" s="63">
        <f>ABS(連結CF!E23)+ABS(連結CF!F23)+ABS(連結CF!G23)+ABS(連結CF!H23)+ABS(連結CF!I23)</f>
        <v>0</v>
      </c>
      <c r="D7" s="63">
        <f>0</f>
        <v>0</v>
      </c>
      <c r="E7" s="63">
        <f t="shared" si="0"/>
        <v>0</v>
      </c>
      <c r="F7" s="21" t="str">
        <f t="shared" si="1"/>
        <v>PASS</v>
      </c>
      <c r="G7" s="5" t="s">
        <v>840</v>
      </c>
    </row>
    <row r="8" spans="2:7" ht="33" x14ac:dyDescent="0.35">
      <c r="B8" s="5" t="s">
        <v>841</v>
      </c>
      <c r="C8" s="63">
        <f>MAX(ABS(MIN(連結BS!$D$47:$I$47)),ABS(MAX(連結BS!$D$47:$I$47)))</f>
        <v>0</v>
      </c>
      <c r="D8" s="63">
        <f>0</f>
        <v>0</v>
      </c>
      <c r="E8" s="63">
        <f t="shared" si="0"/>
        <v>0</v>
      </c>
      <c r="F8" s="21" t="str">
        <f t="shared" si="1"/>
        <v>PASS</v>
      </c>
      <c r="G8" s="5" t="s">
        <v>836</v>
      </c>
    </row>
    <row r="9" spans="2:7" ht="33" x14ac:dyDescent="0.35">
      <c r="B9" s="5" t="s">
        <v>842</v>
      </c>
      <c r="C9" s="63">
        <f>ABS(連結CF!D50-連結BS!D38)+ABS(連結CF!E50-連結BS!E38)+ABS(連結CF!F50-連結BS!F38)+ABS(連結CF!G50-連結BS!G38)+ABS(連結CF!H50-連結BS!H38)+ABS(連結CF!I50-連結BS!I38)</f>
        <v>2.7284841053187847E-11</v>
      </c>
      <c r="D9" s="63">
        <f>0</f>
        <v>0</v>
      </c>
      <c r="E9" s="63">
        <f t="shared" si="0"/>
        <v>2.7284841053187847E-11</v>
      </c>
      <c r="F9" s="21" t="str">
        <f t="shared" si="1"/>
        <v>PASS</v>
      </c>
      <c r="G9" s="5" t="s">
        <v>838</v>
      </c>
    </row>
    <row r="10" spans="2:7" ht="16.5" x14ac:dyDescent="0.35">
      <c r="B10" s="5" t="s">
        <v>843</v>
      </c>
      <c r="C10" s="63">
        <f>ABS(連結CF!E47)+ABS(連結CF!F47)+ABS(連結CF!G47)+ABS(連結CF!H47)+ABS(連結CF!I47)</f>
        <v>0</v>
      </c>
      <c r="D10" s="63">
        <f>0</f>
        <v>0</v>
      </c>
      <c r="E10" s="63">
        <f t="shared" si="0"/>
        <v>0</v>
      </c>
      <c r="F10" s="21" t="str">
        <f t="shared" si="1"/>
        <v>PASS</v>
      </c>
      <c r="G10" s="5" t="s">
        <v>840</v>
      </c>
    </row>
    <row r="11" spans="2:7" ht="16.5" x14ac:dyDescent="0.35">
      <c r="B11" s="5" t="s">
        <v>844</v>
      </c>
      <c r="C11" s="45">
        <f>連結PL!E6</f>
        <v>38000</v>
      </c>
      <c r="D11" s="45">
        <f>前提!$D$42</f>
        <v>38000</v>
      </c>
      <c r="E11" s="45">
        <f t="shared" si="0"/>
        <v>0</v>
      </c>
      <c r="F11" s="21" t="str">
        <f t="shared" si="1"/>
        <v>PASS</v>
      </c>
      <c r="G11" s="5" t="s">
        <v>845</v>
      </c>
    </row>
    <row r="12" spans="2:7" ht="16.5" x14ac:dyDescent="0.35">
      <c r="B12" s="5" t="s">
        <v>846</v>
      </c>
      <c r="C12" s="45">
        <f>連結PL!E7</f>
        <v>3050</v>
      </c>
      <c r="D12" s="45">
        <f>前提!$D$43</f>
        <v>3050</v>
      </c>
      <c r="E12" s="45">
        <f t="shared" si="0"/>
        <v>0</v>
      </c>
      <c r="F12" s="21" t="str">
        <f t="shared" si="1"/>
        <v>PASS</v>
      </c>
      <c r="G12" s="5" t="s">
        <v>845</v>
      </c>
    </row>
    <row r="13" spans="2:7" ht="16.5" x14ac:dyDescent="0.35">
      <c r="B13" s="5" t="s">
        <v>847</v>
      </c>
      <c r="C13" s="63">
        <f>ABS(セグメント!E19-前提!$D$36)+ABS(セグメント!E20-前提!$D$37)</f>
        <v>0</v>
      </c>
      <c r="D13" s="63">
        <f>0</f>
        <v>0</v>
      </c>
      <c r="E13" s="63">
        <f t="shared" si="0"/>
        <v>0</v>
      </c>
      <c r="F13" s="21" t="str">
        <f t="shared" si="1"/>
        <v>PASS</v>
      </c>
      <c r="G13" s="5" t="s">
        <v>848</v>
      </c>
    </row>
    <row r="14" spans="2:7" ht="16.5" x14ac:dyDescent="0.35">
      <c r="B14" s="5" t="s">
        <v>849</v>
      </c>
      <c r="C14" s="45">
        <f>連結PL!E22</f>
        <v>94.124398321925369</v>
      </c>
      <c r="D14" s="45">
        <f>前提!$D$44</f>
        <v>93.5</v>
      </c>
      <c r="E14" s="45">
        <f t="shared" si="0"/>
        <v>0.62439832192536926</v>
      </c>
      <c r="F14" s="21" t="str">
        <f>IF(ABS(C14/D14-1)&lt;=0.05,"PASS","FAIL")</f>
        <v>PASS</v>
      </c>
      <c r="G14" s="5" t="s">
        <v>850</v>
      </c>
    </row>
    <row r="15" spans="2:7" ht="16.5" x14ac:dyDescent="0.35">
      <c r="B15" s="5" t="s">
        <v>851</v>
      </c>
      <c r="C15" s="45">
        <f>連結PL!E21</f>
        <v>1278.8682000000001</v>
      </c>
      <c r="D15" s="45">
        <f>前提!$D$45</f>
        <v>1270</v>
      </c>
      <c r="E15" s="45">
        <f t="shared" si="0"/>
        <v>8.8682000000001153</v>
      </c>
      <c r="F15" s="21" t="str">
        <f>IF(ABS(C15/D15-1)&lt;=0.05,"PASS","FAIL")</f>
        <v>PASS</v>
      </c>
      <c r="G15" s="5" t="s">
        <v>852</v>
      </c>
    </row>
    <row r="16" spans="2:7" ht="16.5" x14ac:dyDescent="0.35">
      <c r="B16" s="5" t="s">
        <v>853</v>
      </c>
      <c r="C16" s="63">
        <f>ABS(連結PL!E52)+ABS(連結PL!E53)</f>
        <v>0</v>
      </c>
      <c r="D16" s="63">
        <f>0</f>
        <v>0</v>
      </c>
      <c r="E16" s="63">
        <f t="shared" si="0"/>
        <v>0</v>
      </c>
      <c r="F16" s="21" t="str">
        <f>IF(ABS(E16)&lt;=0.01,"PASS","FAIL")</f>
        <v>PASS</v>
      </c>
      <c r="G16" s="5"/>
    </row>
    <row r="17" spans="2:7" ht="16.5" x14ac:dyDescent="0.35">
      <c r="B17" s="5" t="s">
        <v>854</v>
      </c>
      <c r="C17" s="63">
        <f>ABS(セグメント!E35-連結PL!E7)+ABS(セグメント!F35-連結PL!F7)+ABS(セグメント!G35-連結PL!G7)+ABS(セグメント!H35-連結PL!H7)+ABS(セグメント!I35-連結PL!I7)</f>
        <v>0</v>
      </c>
      <c r="D17" s="63">
        <f>0</f>
        <v>0</v>
      </c>
      <c r="E17" s="63">
        <f t="shared" si="0"/>
        <v>0</v>
      </c>
      <c r="F17" s="21" t="str">
        <f>IF(ABS(E17)&lt;=0.01,"PASS","FAIL")</f>
        <v>PASS</v>
      </c>
      <c r="G17" s="5"/>
    </row>
    <row r="18" spans="2:7" ht="16.5" x14ac:dyDescent="0.35">
      <c r="B18" s="5" t="s">
        <v>855</v>
      </c>
      <c r="C18" s="57">
        <f>COUNTIF(分社化・合併!$E$23:$I$23,"&lt;&gt;0")</f>
        <v>1</v>
      </c>
      <c r="D18" s="57">
        <f>IF(ABS(分社化・合併!D22-分社化・合併!D15)&gt;0,1,0)</f>
        <v>1</v>
      </c>
      <c r="E18" s="57">
        <f t="shared" si="0"/>
        <v>0</v>
      </c>
      <c r="F18" s="21" t="str">
        <f>IF(ABS(E18)&lt;=0,"PASS","FAIL")</f>
        <v>PASS</v>
      </c>
      <c r="G18" s="5"/>
    </row>
    <row r="19" spans="2:7" ht="16.5" x14ac:dyDescent="0.35">
      <c r="B19" s="5" t="s">
        <v>856</v>
      </c>
      <c r="C19" s="57">
        <f>SUM(D_JSR!$E$26:$I$26)</f>
        <v>0</v>
      </c>
      <c r="D19" s="57">
        <f>MIN(1,SUM(D_JSR!$E$26:$I$26))</f>
        <v>0</v>
      </c>
      <c r="E19" s="57">
        <f t="shared" si="0"/>
        <v>0</v>
      </c>
      <c r="F19" s="21" t="str">
        <f>IF(ABS(E19)&lt;=0,"PASS","FAIL")</f>
        <v>PASS</v>
      </c>
      <c r="G19" s="5"/>
    </row>
    <row r="20" spans="2:7" ht="16.5" x14ac:dyDescent="0.35">
      <c r="B20" s="5" t="s">
        <v>857</v>
      </c>
      <c r="C20" s="70">
        <f>MAX(0,SUMPRODUCT(MAX(D_JSR!$E$28:$I$28*(1-D_JSR!$E$29:$I$29))-前提!$D$139))</f>
        <v>0</v>
      </c>
      <c r="D20" s="70">
        <f>0</f>
        <v>0</v>
      </c>
      <c r="E20" s="70">
        <f t="shared" si="0"/>
        <v>0</v>
      </c>
      <c r="F20" s="21" t="str">
        <f>IF(ABS(E20)&lt;=0.000001,"PASS","FAIL")</f>
        <v>PASS</v>
      </c>
      <c r="G20" s="5"/>
    </row>
    <row r="21" spans="2:7" ht="16.5" x14ac:dyDescent="0.35">
      <c r="B21" s="5" t="s">
        <v>858</v>
      </c>
      <c r="C21" s="63">
        <f>MAX(連結BS!$E$46:$I$46)</f>
        <v>0.79838116561886896</v>
      </c>
      <c r="D21" s="63">
        <f>前提!$D$145</f>
        <v>0.8</v>
      </c>
      <c r="E21" s="63">
        <f t="shared" si="0"/>
        <v>-1.6188343811310846E-3</v>
      </c>
      <c r="F21" t="str">
        <f>IF(OR(前提!$D$33&lt;&gt;0,C21&lt;=D21),"PASS","FAIL")</f>
        <v>PASS</v>
      </c>
      <c r="G21" s="5" t="s">
        <v>859</v>
      </c>
    </row>
    <row r="22" spans="2:7" ht="16.5" x14ac:dyDescent="0.35">
      <c r="B22" s="5" t="s">
        <v>860</v>
      </c>
      <c r="C22" s="45">
        <f>SUMPRODUCT(MAX(D_JSR!$E$33:$I$33-D_JSR!$E$24:$I$24))</f>
        <v>0</v>
      </c>
      <c r="D22" s="45">
        <f>0</f>
        <v>0</v>
      </c>
      <c r="E22" s="45">
        <f t="shared" si="0"/>
        <v>0</v>
      </c>
      <c r="F22" t="str">
        <f>IF(C22&lt;=0.001,"PASS","FAIL")</f>
        <v>PASS</v>
      </c>
      <c r="G22" s="5" t="s">
        <v>861</v>
      </c>
    </row>
    <row r="23" spans="2:7" ht="16.5" x14ac:dyDescent="0.35">
      <c r="B23" s="5" t="s">
        <v>862</v>
      </c>
      <c r="C23" s="40">
        <f>MAX(D_半導体!$E$11:$I$11)-MAX(D_半導体!$E$10:$I$10)</f>
        <v>-2.8478407050780863E-2</v>
      </c>
      <c r="D23" s="40">
        <f>0</f>
        <v>0</v>
      </c>
      <c r="E23" s="40">
        <f t="shared" si="0"/>
        <v>-2.8478407050780863E-2</v>
      </c>
      <c r="F23" t="str">
        <f>IF(E23&lt;=0,"PASS","FAIL")</f>
        <v>PASS</v>
      </c>
      <c r="G23" s="5" t="s">
        <v>863</v>
      </c>
    </row>
    <row r="24" spans="2:7" ht="16.5" x14ac:dyDescent="0.35">
      <c r="B24" s="5" t="s">
        <v>864</v>
      </c>
      <c r="C24" s="57">
        <f>SUMPRODUCT(--ISERROR(前提!A1:L220))</f>
        <v>0</v>
      </c>
      <c r="D24" s="57">
        <f>0</f>
        <v>0</v>
      </c>
      <c r="E24" s="57">
        <f t="shared" si="0"/>
        <v>0</v>
      </c>
      <c r="F24" s="21" t="str">
        <f t="shared" ref="F24:F36" si="2">IF(ABS(E24)&lt;=0,"PASS","FAIL")</f>
        <v>PASS</v>
      </c>
      <c r="G24" s="5"/>
    </row>
    <row r="25" spans="2:7" ht="16.5" x14ac:dyDescent="0.35">
      <c r="B25" s="5" t="s">
        <v>865</v>
      </c>
      <c r="C25" s="57">
        <f>SUMPRODUCT(--ISERROR(D_半導体!A1:L220))</f>
        <v>0</v>
      </c>
      <c r="D25" s="57">
        <f>0</f>
        <v>0</v>
      </c>
      <c r="E25" s="57">
        <f t="shared" si="0"/>
        <v>0</v>
      </c>
      <c r="F25" s="21" t="str">
        <f t="shared" si="2"/>
        <v>PASS</v>
      </c>
      <c r="G25" s="5"/>
    </row>
    <row r="26" spans="2:7" ht="16.5" x14ac:dyDescent="0.35">
      <c r="B26" s="5" t="s">
        <v>866</v>
      </c>
      <c r="C26" s="57">
        <f>SUMPRODUCT(--ISERROR(D_Zoox!A1:L220))</f>
        <v>0</v>
      </c>
      <c r="D26" s="57">
        <f>0</f>
        <v>0</v>
      </c>
      <c r="E26" s="57">
        <f t="shared" si="0"/>
        <v>0</v>
      </c>
      <c r="F26" s="21" t="str">
        <f t="shared" si="2"/>
        <v>PASS</v>
      </c>
      <c r="G26" s="5"/>
    </row>
    <row r="27" spans="2:7" ht="16.5" x14ac:dyDescent="0.35">
      <c r="B27" s="5" t="s">
        <v>867</v>
      </c>
      <c r="C27" s="57">
        <f>SUMPRODUCT(--ISERROR(D_石化!A1:L220))</f>
        <v>0</v>
      </c>
      <c r="D27" s="57">
        <f>0</f>
        <v>0</v>
      </c>
      <c r="E27" s="57">
        <f t="shared" si="0"/>
        <v>0</v>
      </c>
      <c r="F27" s="21" t="str">
        <f t="shared" si="2"/>
        <v>PASS</v>
      </c>
      <c r="G27" s="5"/>
    </row>
    <row r="28" spans="2:7" ht="16.5" x14ac:dyDescent="0.35">
      <c r="B28" s="5" t="s">
        <v>868</v>
      </c>
      <c r="C28" s="57">
        <f>SUMPRODUCT(--ISERROR(D_JSR!A1:L220))</f>
        <v>0</v>
      </c>
      <c r="D28" s="57">
        <f>0</f>
        <v>0</v>
      </c>
      <c r="E28" s="57">
        <f t="shared" si="0"/>
        <v>0</v>
      </c>
      <c r="F28" s="21" t="str">
        <f t="shared" si="2"/>
        <v>PASS</v>
      </c>
      <c r="G28" s="5"/>
    </row>
    <row r="29" spans="2:7" ht="16.5" x14ac:dyDescent="0.35">
      <c r="B29" s="5" t="s">
        <v>869</v>
      </c>
      <c r="C29" s="57">
        <f>SUMPRODUCT(--ISERROR(セグメント!A1:L220))</f>
        <v>0</v>
      </c>
      <c r="D29" s="57">
        <f>0</f>
        <v>0</v>
      </c>
      <c r="E29" s="57">
        <f t="shared" si="0"/>
        <v>0</v>
      </c>
      <c r="F29" s="21" t="str">
        <f t="shared" si="2"/>
        <v>PASS</v>
      </c>
      <c r="G29" s="5"/>
    </row>
    <row r="30" spans="2:7" ht="16.5" x14ac:dyDescent="0.35">
      <c r="B30" s="5" t="s">
        <v>870</v>
      </c>
      <c r="C30" s="57">
        <f>SUMPRODUCT(--ISERROR(連結PL!A1:L220))</f>
        <v>0</v>
      </c>
      <c r="D30" s="57">
        <f>0</f>
        <v>0</v>
      </c>
      <c r="E30" s="57">
        <f t="shared" si="0"/>
        <v>0</v>
      </c>
      <c r="F30" s="21" t="str">
        <f t="shared" si="2"/>
        <v>PASS</v>
      </c>
      <c r="G30" s="5"/>
    </row>
    <row r="31" spans="2:7" ht="16.5" x14ac:dyDescent="0.35">
      <c r="B31" s="5" t="s">
        <v>871</v>
      </c>
      <c r="C31" s="57">
        <f>SUMPRODUCT(--ISERROR(連結BS!A1:L220))</f>
        <v>0</v>
      </c>
      <c r="D31" s="57">
        <f>0</f>
        <v>0</v>
      </c>
      <c r="E31" s="57">
        <f t="shared" si="0"/>
        <v>0</v>
      </c>
      <c r="F31" s="21" t="str">
        <f t="shared" si="2"/>
        <v>PASS</v>
      </c>
      <c r="G31" s="5"/>
    </row>
    <row r="32" spans="2:7" ht="16.5" x14ac:dyDescent="0.35">
      <c r="B32" s="5" t="s">
        <v>872</v>
      </c>
      <c r="C32" s="57">
        <f>SUMPRODUCT(--ISERROR(連結CF!A1:L220))</f>
        <v>0</v>
      </c>
      <c r="D32" s="57">
        <f>0</f>
        <v>0</v>
      </c>
      <c r="E32" s="57">
        <f t="shared" si="0"/>
        <v>0</v>
      </c>
      <c r="F32" s="21" t="str">
        <f t="shared" si="2"/>
        <v>PASS</v>
      </c>
      <c r="G32" s="5"/>
    </row>
    <row r="33" spans="2:7" ht="16.5" x14ac:dyDescent="0.35">
      <c r="B33" s="5" t="s">
        <v>873</v>
      </c>
      <c r="C33" s="57">
        <f>SUMPRODUCT(--ISERROR(分社化・合併!A1:L220))</f>
        <v>0</v>
      </c>
      <c r="D33" s="57">
        <f>0</f>
        <v>0</v>
      </c>
      <c r="E33" s="57">
        <f t="shared" si="0"/>
        <v>0</v>
      </c>
      <c r="F33" s="21" t="str">
        <f t="shared" si="2"/>
        <v>PASS</v>
      </c>
      <c r="G33" s="5"/>
    </row>
    <row r="34" spans="2:7" ht="16.5" x14ac:dyDescent="0.35">
      <c r="B34" s="5" t="s">
        <v>874</v>
      </c>
      <c r="C34" s="57">
        <f>SUMPRODUCT(--ISERROR(中計判定!A1:L220))</f>
        <v>0</v>
      </c>
      <c r="D34" s="57">
        <f>0</f>
        <v>0</v>
      </c>
      <c r="E34" s="57">
        <f t="shared" si="0"/>
        <v>0</v>
      </c>
      <c r="F34" s="21" t="str">
        <f t="shared" si="2"/>
        <v>PASS</v>
      </c>
      <c r="G34" s="5"/>
    </row>
    <row r="35" spans="2:7" ht="16.5" x14ac:dyDescent="0.35">
      <c r="B35" s="5" t="s">
        <v>875</v>
      </c>
      <c r="C35" s="57">
        <f>SUMPRODUCT(--ISERROR(日本酸素_持分法換算!A1:L220))</f>
        <v>0</v>
      </c>
      <c r="D35" s="57">
        <f>0</f>
        <v>0</v>
      </c>
      <c r="E35" s="57">
        <f t="shared" si="0"/>
        <v>0</v>
      </c>
      <c r="F35" s="21" t="str">
        <f t="shared" si="2"/>
        <v>PASS</v>
      </c>
      <c r="G35" s="5"/>
    </row>
    <row r="36" spans="2:7" ht="16.5" x14ac:dyDescent="0.35">
      <c r="B36" s="29" t="s">
        <v>876</v>
      </c>
      <c r="C36" s="71">
        <f>SUMPRODUCT(--ISERROR(表紙!A1:L220))</f>
        <v>0</v>
      </c>
      <c r="D36" s="71">
        <f>0</f>
        <v>0</v>
      </c>
      <c r="E36" s="71">
        <f t="shared" si="0"/>
        <v>0</v>
      </c>
      <c r="F36" s="26" t="str">
        <f t="shared" si="2"/>
        <v>PASS</v>
      </c>
      <c r="G36" s="29"/>
    </row>
    <row r="38" spans="2:7" ht="16.5" x14ac:dyDescent="0.35">
      <c r="B38" s="42" t="s">
        <v>877</v>
      </c>
      <c r="C38" s="67">
        <f>COUNTIF(F5:F36,"FAIL")</f>
        <v>0</v>
      </c>
    </row>
    <row r="40" spans="2:7" ht="17.100000000000001" customHeight="1" x14ac:dyDescent="0.15">
      <c r="B40" s="72" t="s">
        <v>878</v>
      </c>
      <c r="C40" s="73"/>
      <c r="D40" s="73"/>
      <c r="E40" s="73"/>
      <c r="F40" s="73"/>
      <c r="G40" s="73"/>
    </row>
    <row r="41" spans="2:7" ht="17.100000000000001" customHeight="1" x14ac:dyDescent="0.15">
      <c r="B41" s="72" t="s">
        <v>879</v>
      </c>
      <c r="C41" s="73"/>
      <c r="D41" s="73"/>
      <c r="E41" s="73"/>
      <c r="F41" s="73"/>
      <c r="G41" s="73"/>
    </row>
  </sheetData>
  <mergeCells count="2">
    <mergeCell ref="B40:G40"/>
    <mergeCell ref="B41:G41"/>
  </mergeCells>
  <phoneticPr fontId="8"/>
  <conditionalFormatting sqref="F5:F36">
    <cfRule type="cellIs" dxfId="1" priority="1" operator="equal">
      <formula>"PASS"</formula>
    </cfRule>
    <cfRule type="cellIs" dxfId="0" priority="2" operator="equal">
      <formula>"FAIL"</formula>
    </cfRule>
  </conditionalFormatting>
  <printOptions horizontalCentered="1"/>
  <pageMargins left="0.4" right="0.4" top="0.6" bottom="0.6" header="0.25" footer="0.25"/>
  <pageSetup paperSize="9" fitToHeight="0" orientation="landscape"/>
  <headerFooter>
    <oddHeader>&amp;L&amp;9 三菱ケミカルグループ（4188）&amp;R&amp;9 &amp;A</oddHeader>
    <oddFooter>&amp;C&amp;9 &amp;P / &amp;N</oddFooter>
    <evenHeader>&amp;L&amp;9 三菱ケミカルグループ（4188）&amp;R&amp;9 &amp;A</evenHeader>
    <evenFooter>&amp;C&amp;9 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表紙</vt:lpstr>
      <vt:lpstr>前提</vt:lpstr>
      <vt:lpstr>D_半導体</vt:lpstr>
      <vt:lpstr>D_Zoox</vt:lpstr>
      <vt:lpstr>D_石化</vt:lpstr>
      <vt:lpstr>D_JSR</vt:lpstr>
      <vt:lpstr>セグメント</vt:lpstr>
      <vt:lpstr>連結PL</vt:lpstr>
      <vt:lpstr>連結BS</vt:lpstr>
      <vt:lpstr>連結CF</vt:lpstr>
      <vt:lpstr>分社化・合併</vt:lpstr>
      <vt:lpstr>中計判定</vt:lpstr>
      <vt:lpstr>日本酸素_持分法換算</vt:lpstr>
      <vt:lpstr>出典</vt:lpstr>
      <vt:lpstr>検証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hiroyuki kurosu</cp:lastModifiedBy>
  <dcterms:created xsi:type="dcterms:W3CDTF">2026-10-29T19:04:36Z</dcterms:created>
  <dcterms:modified xsi:type="dcterms:W3CDTF">2026-10-29T19:04:38Z</dcterms:modified>
</cp:coreProperties>
</file>